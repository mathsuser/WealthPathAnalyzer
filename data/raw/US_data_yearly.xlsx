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Data" sheetId="2" r:id="rId5"/>
    <sheet name="Consumption" sheetId="3" r:id="rId6"/>
    <sheet name="PDVPlot" sheetId="4" r:id="rId7"/>
    <sheet name="ConsumptionPlot" sheetId="5" r:id="rId8"/>
    <sheet name="Calculations" sheetId="6" r:id="rId9"/>
  </sheets>
</workbook>
</file>

<file path=xl/sharedStrings.xml><?xml version="1.0" encoding="utf-8"?>
<sst xmlns="http://schemas.openxmlformats.org/spreadsheetml/2006/main" uniqueCount="98">
  <si>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</si>
  <si>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</si>
  <si>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</si>
  <si>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</si>
  <si>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Data</t>
  </si>
  <si>
    <t>Table 1</t>
  </si>
  <si>
    <t>Shiller, R., U.S.Stock Price Data, Annual, with consumption, both short and long rates, and present value calculations.</t>
  </si>
  <si>
    <t>An Update of Data shown in Chapter 26 of Market Volatility, R. Shiller, MIT Press, 1989, and Irrational Exuberance, Princeton 2015.</t>
  </si>
  <si>
    <t>CAPE</t>
  </si>
  <si>
    <t>P</t>
  </si>
  <si>
    <t>D</t>
  </si>
  <si>
    <t>E</t>
  </si>
  <si>
    <t>R</t>
  </si>
  <si>
    <t>RLONG</t>
  </si>
  <si>
    <t>CPI</t>
  </si>
  <si>
    <t>RealR</t>
  </si>
  <si>
    <t>C</t>
  </si>
  <si>
    <t>RealP</t>
  </si>
  <si>
    <t>P*</t>
  </si>
  <si>
    <t>P*r</t>
  </si>
  <si>
    <t>P*C</t>
  </si>
  <si>
    <t>RealD</t>
  </si>
  <si>
    <t>Return</t>
  </si>
  <si>
    <t>ln(1+ret)</t>
  </si>
  <si>
    <t>RealE</t>
  </si>
  <si>
    <t>P/E</t>
  </si>
  <si>
    <t>E10</t>
  </si>
  <si>
    <t>P/E10</t>
  </si>
  <si>
    <t>S&amp;P</t>
  </si>
  <si>
    <t>Dividends</t>
  </si>
  <si>
    <t>Earnings</t>
  </si>
  <si>
    <t>One-Year</t>
  </si>
  <si>
    <t>Long</t>
  </si>
  <si>
    <t>Consumer</t>
  </si>
  <si>
    <t xml:space="preserve">Real </t>
  </si>
  <si>
    <t>Real Per</t>
  </si>
  <si>
    <t>Present</t>
  </si>
  <si>
    <t>on</t>
  </si>
  <si>
    <t>Price</t>
  </si>
  <si>
    <t>Ten-Year</t>
  </si>
  <si>
    <t>Composite</t>
  </si>
  <si>
    <t>Accruing</t>
  </si>
  <si>
    <t>Interest</t>
  </si>
  <si>
    <t>Government</t>
  </si>
  <si>
    <t>Capita</t>
  </si>
  <si>
    <t>Stock</t>
  </si>
  <si>
    <t>Value</t>
  </si>
  <si>
    <t xml:space="preserve">Average </t>
  </si>
  <si>
    <t>to</t>
  </si>
  <si>
    <t>Rate</t>
  </si>
  <si>
    <t>Bond</t>
  </si>
  <si>
    <t>Index</t>
  </si>
  <si>
    <t>Consumption</t>
  </si>
  <si>
    <t>of Real</t>
  </si>
  <si>
    <t>Dividend</t>
  </si>
  <si>
    <t>Ratio</t>
  </si>
  <si>
    <t>of</t>
  </si>
  <si>
    <t>Yield</t>
  </si>
  <si>
    <t xml:space="preserve">(See </t>
  </si>
  <si>
    <t>10yrpost53</t>
  </si>
  <si>
    <t>Const r</t>
  </si>
  <si>
    <t>Market r</t>
  </si>
  <si>
    <t>Cons disc.</t>
  </si>
  <si>
    <t>Tab)</t>
  </si>
  <si>
    <t>in 2005</t>
  </si>
  <si>
    <t>dollars</t>
  </si>
  <si>
    <t>Notes: The Federal Reserve Board discontinued its 6-month commercial paper rate series August 1997.</t>
  </si>
  <si>
    <t xml:space="preserve">After that, the 6-month Certificate of Deposit rate, secondary market, is used, </t>
  </si>
  <si>
    <t>The series R is the result of converting the January and July rates into an annual yield. RLONG is the 10-year Treasury after 1953</t>
  </si>
  <si>
    <t>Before 1953, it is government bond yields from Sidney Homer A History of Interest Rates.</t>
  </si>
  <si>
    <r>
      <rPr>
        <sz val="10"/>
        <color indexed="8"/>
        <rFont val="Courier"/>
      </rPr>
      <t xml:space="preserve">See Shiller, </t>
    </r>
    <r>
      <rPr>
        <i val="1"/>
        <sz val="10"/>
        <color indexed="8"/>
        <rFont val="Courier"/>
      </rPr>
      <t>Market Volatility</t>
    </r>
    <r>
      <rPr>
        <sz val="10"/>
        <color indexed="8"/>
        <rFont val="Courier"/>
      </rPr>
      <t xml:space="preserve">, 1989,  Chapter 26, and Shiller </t>
    </r>
    <r>
      <rPr>
        <i val="1"/>
        <sz val="10"/>
        <color indexed="8"/>
        <rFont val="Courier"/>
      </rPr>
      <t>Irrational Exuberance</t>
    </r>
    <r>
      <rPr>
        <sz val="10"/>
        <color indexed="8"/>
        <rFont val="Courier"/>
      </rPr>
      <t xml:space="preserve"> 3rd Edition, 2015 for description of data</t>
    </r>
  </si>
  <si>
    <t>This page shows how consumption data in column I of Data were constructed</t>
  </si>
  <si>
    <t>NIPA Table 2.3.6</t>
  </si>
  <si>
    <t>NIPA Table 2.4.3</t>
  </si>
  <si>
    <t>NBER Kendrick</t>
  </si>
  <si>
    <t>Real Consumption</t>
  </si>
  <si>
    <t>Population</t>
  </si>
  <si>
    <t>Per Capita Real Consumption</t>
  </si>
  <si>
    <t>Personal Consumption Expenditures</t>
  </si>
  <si>
    <t>Real Personal Consumption Index</t>
  </si>
  <si>
    <t>Inferred from Columns B,C,D</t>
  </si>
  <si>
    <t>From NIPA Table 7.1 Line 18</t>
  </si>
  <si>
    <t>Billions of Chained 2005 Dollars</t>
  </si>
  <si>
    <t>2000=100</t>
  </si>
  <si>
    <t>Millions of 1929 Dollars</t>
  </si>
  <si>
    <t>Billions of 2005 Dollars</t>
  </si>
  <si>
    <t>Millions</t>
  </si>
  <si>
    <t>In 2005 Dollars</t>
  </si>
  <si>
    <t>2009 value is 2nd quarter 2009</t>
  </si>
  <si>
    <t>2009 Pop is 2nd Quarter</t>
  </si>
  <si>
    <t>PDVPlot</t>
  </si>
  <si>
    <t>"All Drawings from the Sheet"</t>
  </si>
  <si>
    <t>ConsumptionPlot</t>
  </si>
  <si>
    <t>Calculations</t>
  </si>
  <si>
    <t>Average Real Interest Rate:</t>
  </si>
  <si>
    <t>Geometric Average Stock Return:</t>
  </si>
  <si>
    <t>exp(geo. Avg. return)</t>
  </si>
  <si>
    <t>Geometric Average Dividend Growth</t>
  </si>
</sst>
</file>

<file path=xl/styles.xml><?xml version="1.0" encoding="utf-8"?>
<styleSheet xmlns="http://schemas.openxmlformats.org/spreadsheetml/2006/main">
  <numFmts count="2">
    <numFmt numFmtId="0" formatCode="General"/>
    <numFmt numFmtId="59" formatCode="#,##0.0"/>
  </numFmts>
  <fonts count="19">
    <font>
      <sz val="10"/>
      <color indexed="8"/>
      <name val="Courier"/>
    </font>
    <font>
      <sz val="12"/>
      <color indexed="8"/>
      <name val="Courier"/>
    </font>
    <font>
      <sz val="14"/>
      <color indexed="8"/>
      <name val="Courier"/>
    </font>
    <font>
      <sz val="12"/>
      <color indexed="8"/>
      <name val="Helvetica Neue"/>
    </font>
    <font>
      <u val="single"/>
      <sz val="12"/>
      <color indexed="11"/>
      <name val="Courier"/>
    </font>
    <font>
      <sz val="15"/>
      <color indexed="8"/>
      <name val="Calibri"/>
    </font>
    <font>
      <sz val="10"/>
      <color indexed="8"/>
      <name val="Times New Roman"/>
    </font>
    <font>
      <i val="1"/>
      <sz val="10"/>
      <color indexed="8"/>
      <name val="Courier"/>
    </font>
    <font>
      <b val="1"/>
      <sz val="8"/>
      <color indexed="8"/>
      <name val="Verdana"/>
    </font>
    <font>
      <sz val="8"/>
      <color indexed="8"/>
      <name val="Verdana"/>
    </font>
    <font>
      <sz val="10"/>
      <color indexed="8"/>
      <name val="Arial"/>
    </font>
    <font>
      <sz val="18"/>
      <color indexed="8"/>
      <name val="Calibri"/>
    </font>
    <font>
      <b val="1"/>
      <sz val="10"/>
      <color indexed="8"/>
      <name val="Arial"/>
    </font>
    <font>
      <b val="1"/>
      <sz val="9"/>
      <color indexed="8"/>
      <name val="Arial"/>
    </font>
    <font>
      <sz val="16"/>
      <color indexed="15"/>
      <name val="Arial"/>
    </font>
    <font>
      <sz val="16"/>
      <color indexed="8"/>
      <name val="Arial"/>
    </font>
    <font>
      <sz val="16"/>
      <color indexed="16"/>
      <name val="Arial"/>
    </font>
    <font>
      <sz val="16"/>
      <color indexed="17"/>
      <name val="Arial"/>
    </font>
    <font>
      <sz val="10"/>
      <color indexed="8"/>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s>
  <borders count="21">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thin">
        <color indexed="8"/>
      </bottom>
      <diagonal/>
    </border>
    <border>
      <left style="thin">
        <color indexed="12"/>
      </left>
      <right style="thin">
        <color indexed="8"/>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style="thin">
        <color indexed="12"/>
      </left>
      <right style="thin">
        <color indexed="12"/>
      </right>
      <top style="thin">
        <color indexed="8"/>
      </top>
      <bottom style="thin">
        <color indexed="12"/>
      </bottom>
      <diagonal/>
    </border>
    <border>
      <left style="thin">
        <color indexed="12"/>
      </left>
      <right style="thin">
        <color indexed="12"/>
      </right>
      <top style="thin">
        <color indexed="12"/>
      </top>
      <bottom/>
      <diagonal/>
    </border>
    <border>
      <left style="thin">
        <color indexed="8"/>
      </left>
      <right style="thin">
        <color indexed="8"/>
      </right>
      <top style="thin">
        <color indexed="8"/>
      </top>
      <bottom/>
      <diagonal/>
    </border>
    <border>
      <left style="thin">
        <color indexed="12"/>
      </left>
      <right/>
      <top style="thin">
        <color indexed="12"/>
      </top>
      <bottom style="thin">
        <color indexed="12"/>
      </bottom>
      <diagonal/>
    </border>
    <border>
      <left/>
      <right style="thin">
        <color indexed="12"/>
      </right>
      <top style="thin">
        <color indexed="12"/>
      </top>
      <bottom style="thin">
        <color indexed="12"/>
      </bottom>
      <diagonal/>
    </border>
    <border>
      <left style="thin">
        <color indexed="12"/>
      </left>
      <right style="thin">
        <color indexed="12"/>
      </right>
      <top/>
      <bottom style="thin">
        <color indexed="12"/>
      </bottom>
      <diagonal/>
    </border>
  </borders>
  <cellStyleXfs count="1">
    <xf numFmtId="0" fontId="0" applyNumberFormat="0" applyFont="1" applyFill="0" applyBorder="0" applyAlignment="1" applyProtection="0">
      <alignment vertical="bottom"/>
    </xf>
  </cellStyleXfs>
  <cellXfs count="5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0" borderId="4" applyNumberFormat="1" applyFont="1" applyFill="0" applyBorder="1" applyAlignment="1" applyProtection="0">
      <alignment vertical="bottom"/>
    </xf>
    <xf numFmtId="0" fontId="0" borderId="5" applyNumberFormat="0" applyFont="1" applyFill="0" applyBorder="1" applyAlignment="1" applyProtection="0">
      <alignment vertical="bottom"/>
    </xf>
    <xf numFmtId="49" fontId="0" borderId="5" applyNumberFormat="1" applyFont="1" applyFill="0" applyBorder="1" applyAlignment="1" applyProtection="0">
      <alignment horizontal="right" vertical="bottom"/>
    </xf>
    <xf numFmtId="0" fontId="0" borderId="6"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horizontal="right" vertical="bottom"/>
    </xf>
    <xf numFmtId="49" fontId="0" borderId="5" applyNumberFormat="1" applyFont="1" applyFill="0" applyBorder="1" applyAlignment="1" applyProtection="0">
      <alignment vertical="bottom"/>
    </xf>
    <xf numFmtId="0" fontId="0" borderId="4" applyNumberFormat="1" applyFont="1" applyFill="0" applyBorder="1" applyAlignment="1" applyProtection="0">
      <alignment vertical="bottom"/>
    </xf>
    <xf numFmtId="0" fontId="0" borderId="5" applyNumberFormat="1" applyFont="1" applyFill="0" applyBorder="1" applyAlignment="1" applyProtection="0">
      <alignment horizontal="right" vertical="bottom"/>
    </xf>
    <xf numFmtId="0" fontId="0" borderId="5" applyNumberFormat="1" applyFont="1" applyFill="0" applyBorder="1" applyAlignment="1" applyProtection="0">
      <alignment vertical="bottom"/>
    </xf>
    <xf numFmtId="10" fontId="0" borderId="5" applyNumberFormat="1" applyFont="1" applyFill="0" applyBorder="1" applyAlignment="1" applyProtection="0">
      <alignment vertical="bottom"/>
    </xf>
    <xf numFmtId="4" fontId="0" borderId="5" applyNumberFormat="1" applyFont="1" applyFill="0" applyBorder="1" applyAlignment="1" applyProtection="0">
      <alignment vertical="bottom"/>
    </xf>
    <xf numFmtId="0" fontId="0" borderId="5" applyNumberFormat="0" applyFont="1" applyFill="0" applyBorder="1" applyAlignment="1" applyProtection="0">
      <alignment horizontal="left" vertical="bottom"/>
    </xf>
    <xf numFmtId="59" fontId="0" borderId="5" applyNumberFormat="1" applyFont="1" applyFill="0" applyBorder="1" applyAlignment="1" applyProtection="0">
      <alignment horizontal="right" vertical="bottom"/>
    </xf>
    <xf numFmtId="2" fontId="0" borderId="5" applyNumberFormat="1" applyFont="1" applyFill="0" applyBorder="1" applyAlignment="1" applyProtection="0">
      <alignment horizontal="right" vertical="bottom"/>
    </xf>
    <xf numFmtId="0" fontId="6" borderId="5" applyNumberFormat="1" applyFont="1" applyFill="0" applyBorder="1" applyAlignment="1" applyProtection="0">
      <alignment vertical="bottom"/>
    </xf>
    <xf numFmtId="0" fontId="6" borderId="5" applyNumberFormat="0" applyFont="1" applyFill="0" applyBorder="1" applyAlignment="1" applyProtection="0">
      <alignment vertical="bottom"/>
    </xf>
    <xf numFmtId="49" fontId="0" borderId="5" applyNumberFormat="1" applyFont="1" applyFill="0" applyBorder="1" applyAlignment="1" applyProtection="0">
      <alignment horizontal="left" vertical="bottom"/>
    </xf>
    <xf numFmtId="0" fontId="0" borderId="4" applyNumberFormat="0" applyFont="1" applyFill="0" applyBorder="1" applyAlignment="1" applyProtection="0">
      <alignment horizontal="left" vertical="bottom"/>
    </xf>
    <xf numFmtId="0" fontId="0" borderId="7" applyNumberFormat="0" applyFont="1" applyFill="0" applyBorder="1" applyAlignment="1" applyProtection="0">
      <alignment horizontal="lef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0" borderId="10" applyNumberFormat="1" applyFont="1" applyFill="0" applyBorder="1" applyAlignment="1" applyProtection="0">
      <alignment vertical="bottom"/>
    </xf>
    <xf numFmtId="0" fontId="0" borderId="10" applyNumberFormat="0" applyFont="1" applyFill="0" applyBorder="1" applyAlignment="1" applyProtection="0">
      <alignment vertical="bottom"/>
    </xf>
    <xf numFmtId="49" fontId="0" fillId="4" borderId="10" applyNumberFormat="1" applyFont="1" applyFill="1" applyBorder="1" applyAlignment="1" applyProtection="0">
      <alignment vertical="bottom" wrapText="1"/>
    </xf>
    <xf numFmtId="0" fontId="0" borderId="10" applyNumberFormat="1" applyFont="1" applyFill="0" applyBorder="1" applyAlignment="1" applyProtection="0">
      <alignment vertical="bottom"/>
    </xf>
    <xf numFmtId="0" fontId="0" fillId="4" borderId="10" applyNumberFormat="0" applyFont="1" applyFill="1" applyBorder="1" applyAlignment="1" applyProtection="0">
      <alignment vertical="bottom" wrapText="1"/>
    </xf>
    <xf numFmtId="0" fontId="0" fillId="4" borderId="10" applyNumberFormat="1" applyFont="1" applyFill="1" applyBorder="1" applyAlignment="1" applyProtection="0">
      <alignment vertical="bottom" wrapText="1"/>
    </xf>
    <xf numFmtId="0" fontId="0" borderId="11" applyNumberFormat="0" applyFont="1" applyFill="0" applyBorder="1" applyAlignment="1" applyProtection="0">
      <alignment vertical="bottom"/>
    </xf>
    <xf numFmtId="0" fontId="0" borderId="12" applyNumberFormat="0" applyFont="1" applyFill="0" applyBorder="1" applyAlignment="1" applyProtection="0">
      <alignment vertical="bottom"/>
    </xf>
    <xf numFmtId="4" fontId="8" fillId="4" borderId="13" applyNumberFormat="1" applyFont="1" applyFill="1" applyBorder="1" applyAlignment="1" applyProtection="0">
      <alignment horizontal="right" vertical="top"/>
    </xf>
    <xf numFmtId="0" fontId="0" borderId="14" applyNumberFormat="0" applyFont="1" applyFill="0" applyBorder="1" applyAlignment="1" applyProtection="0">
      <alignment vertical="bottom"/>
    </xf>
    <xf numFmtId="0" fontId="0" borderId="15" applyNumberFormat="0" applyFont="1" applyFill="0" applyBorder="1" applyAlignment="1" applyProtection="0">
      <alignment vertical="bottom"/>
    </xf>
    <xf numFmtId="0" fontId="0" borderId="12" applyNumberFormat="1" applyFont="1" applyFill="0" applyBorder="1" applyAlignment="1" applyProtection="0">
      <alignment vertical="bottom"/>
    </xf>
    <xf numFmtId="4" fontId="9" fillId="4" borderId="13" applyNumberFormat="1" applyFont="1" applyFill="1" applyBorder="1" applyAlignment="1" applyProtection="0">
      <alignment horizontal="right" vertical="top"/>
    </xf>
    <xf numFmtId="0" fontId="0" borderId="14" applyNumberFormat="1" applyFont="1" applyFill="0" applyBorder="1" applyAlignment="1" applyProtection="0">
      <alignment vertical="bottom"/>
    </xf>
    <xf numFmtId="4" fontId="0" borderId="10" applyNumberFormat="1" applyFont="1" applyFill="0" applyBorder="1" applyAlignment="1" applyProtection="0">
      <alignment vertical="bottom"/>
    </xf>
    <xf numFmtId="3" fontId="9" fillId="4" borderId="13" applyNumberFormat="1" applyFont="1" applyFill="1" applyBorder="1" applyAlignment="1" applyProtection="0">
      <alignment horizontal="right" vertical="top"/>
    </xf>
    <xf numFmtId="0" fontId="0" borderId="16" applyNumberFormat="1" applyFont="1" applyFill="0" applyBorder="1" applyAlignment="1" applyProtection="0">
      <alignment vertical="bottom"/>
    </xf>
    <xf numFmtId="4" fontId="9" fillId="4" borderId="17" applyNumberFormat="1" applyFont="1" applyFill="1" applyBorder="1" applyAlignment="1" applyProtection="0">
      <alignment horizontal="right" vertical="top"/>
    </xf>
    <xf numFmtId="4" fontId="0" borderId="18" applyNumberFormat="1" applyFont="1" applyFill="0" applyBorder="1" applyAlignment="1" applyProtection="0">
      <alignment vertical="bottom"/>
    </xf>
    <xf numFmtId="4" fontId="0" fillId="4" borderId="19" applyNumberFormat="1" applyFont="1" applyFill="1" applyBorder="1" applyAlignment="1" applyProtection="0">
      <alignment vertical="bottom" wrapText="1"/>
    </xf>
    <xf numFmtId="49" fontId="9" borderId="20" applyNumberFormat="1" applyFont="1" applyFill="0" applyBorder="1" applyAlignment="1" applyProtection="0">
      <alignment vertical="bottom"/>
    </xf>
    <xf numFmtId="49" fontId="0" borderId="20" applyNumberFormat="1" applyFont="1" applyFill="0"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808080"/>
      <rgbColor rgb="ffff0000"/>
      <rgbColor rgb="ff548dd4"/>
      <rgbColor rgb="ff00b050"/>
      <rgbColor rgb="ff878787"/>
      <rgbColor rgb="ff4a7db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900" u="none">
                <a:solidFill>
                  <a:srgbClr val="000000"/>
                </a:solidFill>
                <a:latin typeface="Arial"/>
              </a:defRPr>
            </a:pPr>
            <a:r>
              <a:rPr b="1" i="0" strike="noStrike" sz="900" u="none">
                <a:solidFill>
                  <a:srgbClr val="000000"/>
                </a:solidFill>
                <a:latin typeface="Arial"/>
              </a:rPr>
              <a:t>Comparing Actual Real Stock Price with Three Alternative PDVs of Future Real Dividends</a:t>
            </a:r>
          </a:p>
        </c:rich>
      </c:tx>
      <c:layout>
        <c:manualLayout>
          <c:xMode val="edge"/>
          <c:yMode val="edge"/>
          <c:x val="0.213363"/>
          <c:y val="0"/>
          <c:w val="0.573274"/>
          <c:h val="0.0497308"/>
        </c:manualLayout>
      </c:layout>
      <c:overlay val="1"/>
      <c:spPr>
        <a:noFill/>
        <a:effectLst/>
      </c:spPr>
    </c:title>
    <c:autoTitleDeleted val="1"/>
    <c:plotArea>
      <c:layout>
        <c:manualLayout>
          <c:layoutTarget val="inner"/>
          <c:xMode val="edge"/>
          <c:yMode val="edge"/>
          <c:x val="0.0877402"/>
          <c:y val="0.0497308"/>
          <c:w val="0.894798"/>
          <c:h val="0.856583"/>
        </c:manualLayout>
      </c:layout>
      <c:scatterChart>
        <c:scatterStyle val="lineMarker"/>
        <c:varyColors val="0"/>
        <c:ser>
          <c:idx val="0"/>
          <c:order val="0"/>
          <c:tx>
            <c:v>P</c:v>
          </c:tx>
          <c:spPr>
            <a:noFill/>
            <a:ln w="25400" cap="flat">
              <a:solidFill>
                <a:srgbClr val="FF0000"/>
              </a:solidFill>
              <a:prstDash val="solid"/>
              <a:round/>
            </a:ln>
            <a:effectLst/>
          </c:spPr>
          <c:marker>
            <c:symbol val="none"/>
            <c:size val="5"/>
            <c:spPr>
              <a:noFill/>
              <a:ln w="25400" cap="flat">
                <a:solidFill>
                  <a:srgbClr val="FF0000"/>
                </a:solidFill>
                <a:prstDash val="solid"/>
                <a:round/>
              </a:ln>
              <a:effectLst/>
            </c:spPr>
          </c:marker>
          <c:dLbls>
            <c:numFmt formatCode="General" sourceLinked="1"/>
            <c:txPr>
              <a:bodyPr/>
              <a:lstStyle/>
              <a:p>
                <a:pPr>
                  <a:defRPr b="0" i="0" strike="noStrike" sz="1000" u="none">
                    <a:solidFill>
                      <a:srgbClr val="000000"/>
                    </a:solidFill>
                    <a:latin typeface="Arial"/>
                  </a:defRPr>
                </a:pPr>
              </a:p>
            </c:txPr>
            <c:dLblPos val="t"/>
            <c:showLegendKey val="0"/>
            <c:showVal val="0"/>
            <c:showCatName val="0"/>
            <c:showSerName val="0"/>
            <c:showPercent val="0"/>
            <c:showBubbleSize val="0"/>
            <c:showLeaderLines val="0"/>
          </c:dLbls>
          <c:xVal>
            <c:numRef>
              <c:f>'Data'!$J$9:$J$147</c:f>
              <c:numCache>
                <c:ptCount val="139"/>
                <c:pt idx="0">
                  <c:v>1871.000000</c:v>
                </c:pt>
                <c:pt idx="1">
                  <c:v>1872.000000</c:v>
                </c:pt>
                <c:pt idx="2">
                  <c:v>1873.000000</c:v>
                </c:pt>
                <c:pt idx="3">
                  <c:v>1874.000000</c:v>
                </c:pt>
                <c:pt idx="4">
                  <c:v>1875.000000</c:v>
                </c:pt>
                <c:pt idx="5">
                  <c:v>1876.000000</c:v>
                </c:pt>
                <c:pt idx="6">
                  <c:v>1877.000000</c:v>
                </c:pt>
                <c:pt idx="7">
                  <c:v>1878.000000</c:v>
                </c:pt>
                <c:pt idx="8">
                  <c:v>1879.000000</c:v>
                </c:pt>
                <c:pt idx="9">
                  <c:v>1880.000000</c:v>
                </c:pt>
                <c:pt idx="10">
                  <c:v>1881.000000</c:v>
                </c:pt>
                <c:pt idx="11">
                  <c:v>1882.000000</c:v>
                </c:pt>
                <c:pt idx="12">
                  <c:v>1883.000000</c:v>
                </c:pt>
                <c:pt idx="13">
                  <c:v>1884.000000</c:v>
                </c:pt>
                <c:pt idx="14">
                  <c:v>1885.000000</c:v>
                </c:pt>
                <c:pt idx="15">
                  <c:v>1886.000000</c:v>
                </c:pt>
                <c:pt idx="16">
                  <c:v>1887.000000</c:v>
                </c:pt>
                <c:pt idx="17">
                  <c:v>1888.000000</c:v>
                </c:pt>
                <c:pt idx="18">
                  <c:v>1889.000000</c:v>
                </c:pt>
                <c:pt idx="19">
                  <c:v>1890.000000</c:v>
                </c:pt>
                <c:pt idx="20">
                  <c:v>1891.000000</c:v>
                </c:pt>
                <c:pt idx="21">
                  <c:v>1892.000000</c:v>
                </c:pt>
                <c:pt idx="22">
                  <c:v>1893.000000</c:v>
                </c:pt>
                <c:pt idx="23">
                  <c:v>1894.000000</c:v>
                </c:pt>
                <c:pt idx="24">
                  <c:v>1895.000000</c:v>
                </c:pt>
                <c:pt idx="25">
                  <c:v>1896.000000</c:v>
                </c:pt>
                <c:pt idx="26">
                  <c:v>1897.000000</c:v>
                </c:pt>
                <c:pt idx="27">
                  <c:v>1898.000000</c:v>
                </c:pt>
                <c:pt idx="28">
                  <c:v>1899.000000</c:v>
                </c:pt>
                <c:pt idx="29">
                  <c:v>1900.000000</c:v>
                </c:pt>
                <c:pt idx="30">
                  <c:v>1901.000000</c:v>
                </c:pt>
                <c:pt idx="31">
                  <c:v>1902.000000</c:v>
                </c:pt>
                <c:pt idx="32">
                  <c:v>1903.000000</c:v>
                </c:pt>
                <c:pt idx="33">
                  <c:v>1904.000000</c:v>
                </c:pt>
                <c:pt idx="34">
                  <c:v>1905.000000</c:v>
                </c:pt>
                <c:pt idx="35">
                  <c:v>1906.000000</c:v>
                </c:pt>
                <c:pt idx="36">
                  <c:v>1907.000000</c:v>
                </c:pt>
                <c:pt idx="37">
                  <c:v>1908.000000</c:v>
                </c:pt>
                <c:pt idx="38">
                  <c:v>1909.000000</c:v>
                </c:pt>
                <c:pt idx="39">
                  <c:v>1910.000000</c:v>
                </c:pt>
                <c:pt idx="40">
                  <c:v>1911.000000</c:v>
                </c:pt>
                <c:pt idx="41">
                  <c:v>1912.000000</c:v>
                </c:pt>
                <c:pt idx="42">
                  <c:v>1913.000000</c:v>
                </c:pt>
                <c:pt idx="43">
                  <c:v>1914.000000</c:v>
                </c:pt>
                <c:pt idx="44">
                  <c:v>1915.000000</c:v>
                </c:pt>
                <c:pt idx="45">
                  <c:v>1916.000000</c:v>
                </c:pt>
                <c:pt idx="46">
                  <c:v>1917.000000</c:v>
                </c:pt>
                <c:pt idx="47">
                  <c:v>1918.000000</c:v>
                </c:pt>
                <c:pt idx="48">
                  <c:v>1919.000000</c:v>
                </c:pt>
                <c:pt idx="49">
                  <c:v>1920.000000</c:v>
                </c:pt>
                <c:pt idx="50">
                  <c:v>1921.000000</c:v>
                </c:pt>
                <c:pt idx="51">
                  <c:v>1922.000000</c:v>
                </c:pt>
                <c:pt idx="52">
                  <c:v>1923.000000</c:v>
                </c:pt>
                <c:pt idx="53">
                  <c:v>1924.000000</c:v>
                </c:pt>
                <c:pt idx="54">
                  <c:v>1925.000000</c:v>
                </c:pt>
                <c:pt idx="55">
                  <c:v>1926.000000</c:v>
                </c:pt>
                <c:pt idx="56">
                  <c:v>1927.000000</c:v>
                </c:pt>
                <c:pt idx="57">
                  <c:v>1928.000000</c:v>
                </c:pt>
                <c:pt idx="58">
                  <c:v>1929.000000</c:v>
                </c:pt>
                <c:pt idx="59">
                  <c:v>1930.000000</c:v>
                </c:pt>
                <c:pt idx="60">
                  <c:v>1931.000000</c:v>
                </c:pt>
                <c:pt idx="61">
                  <c:v>1932.000000</c:v>
                </c:pt>
                <c:pt idx="62">
                  <c:v>1933.000000</c:v>
                </c:pt>
                <c:pt idx="63">
                  <c:v>1934.000000</c:v>
                </c:pt>
                <c:pt idx="64">
                  <c:v>1935.000000</c:v>
                </c:pt>
                <c:pt idx="65">
                  <c:v>1936.000000</c:v>
                </c:pt>
                <c:pt idx="66">
                  <c:v>1937.000000</c:v>
                </c:pt>
                <c:pt idx="67">
                  <c:v>1938.000000</c:v>
                </c:pt>
                <c:pt idx="68">
                  <c:v>1939.000000</c:v>
                </c:pt>
                <c:pt idx="69">
                  <c:v>1940.000000</c:v>
                </c:pt>
                <c:pt idx="70">
                  <c:v>1941.000000</c:v>
                </c:pt>
                <c:pt idx="71">
                  <c:v>1942.000000</c:v>
                </c:pt>
                <c:pt idx="72">
                  <c:v>1943.000000</c:v>
                </c:pt>
                <c:pt idx="73">
                  <c:v>1944.000000</c:v>
                </c:pt>
                <c:pt idx="74">
                  <c:v>1945.000000</c:v>
                </c:pt>
                <c:pt idx="75">
                  <c:v>1946.000000</c:v>
                </c:pt>
                <c:pt idx="76">
                  <c:v>1947.000000</c:v>
                </c:pt>
                <c:pt idx="77">
                  <c:v>1948.000000</c:v>
                </c:pt>
                <c:pt idx="78">
                  <c:v>1949.000000</c:v>
                </c:pt>
                <c:pt idx="79">
                  <c:v>1950.000000</c:v>
                </c:pt>
                <c:pt idx="80">
                  <c:v>1951.000000</c:v>
                </c:pt>
                <c:pt idx="81">
                  <c:v>1952.000000</c:v>
                </c:pt>
                <c:pt idx="82">
                  <c:v>1953.000000</c:v>
                </c:pt>
                <c:pt idx="83">
                  <c:v>1954.000000</c:v>
                </c:pt>
                <c:pt idx="84">
                  <c:v>1955.000000</c:v>
                </c:pt>
                <c:pt idx="85">
                  <c:v>1956.000000</c:v>
                </c:pt>
                <c:pt idx="86">
                  <c:v>1957.000000</c:v>
                </c:pt>
                <c:pt idx="87">
                  <c:v>1958.000000</c:v>
                </c:pt>
                <c:pt idx="88">
                  <c:v>1959.000000</c:v>
                </c:pt>
                <c:pt idx="89">
                  <c:v>1960.000000</c:v>
                </c:pt>
                <c:pt idx="90">
                  <c:v>1961.000000</c:v>
                </c:pt>
                <c:pt idx="91">
                  <c:v>1962.000000</c:v>
                </c:pt>
                <c:pt idx="92">
                  <c:v>1963.000000</c:v>
                </c:pt>
                <c:pt idx="93">
                  <c:v>1964.000000</c:v>
                </c:pt>
                <c:pt idx="94">
                  <c:v>1965.000000</c:v>
                </c:pt>
                <c:pt idx="95">
                  <c:v>1966.000000</c:v>
                </c:pt>
                <c:pt idx="96">
                  <c:v>1967.000000</c:v>
                </c:pt>
                <c:pt idx="97">
                  <c:v>1968.000000</c:v>
                </c:pt>
                <c:pt idx="98">
                  <c:v>1969.000000</c:v>
                </c:pt>
                <c:pt idx="99">
                  <c:v>1970.000000</c:v>
                </c:pt>
                <c:pt idx="100">
                  <c:v>1971.000000</c:v>
                </c:pt>
                <c:pt idx="101">
                  <c:v>1972.000000</c:v>
                </c:pt>
                <c:pt idx="102">
                  <c:v>1973.000000</c:v>
                </c:pt>
                <c:pt idx="103">
                  <c:v>1974.000000</c:v>
                </c:pt>
                <c:pt idx="104">
                  <c:v>1975.000000</c:v>
                </c:pt>
                <c:pt idx="105">
                  <c:v>1976.000000</c:v>
                </c:pt>
                <c:pt idx="106">
                  <c:v>1977.000000</c:v>
                </c:pt>
                <c:pt idx="107">
                  <c:v>1978.000000</c:v>
                </c:pt>
                <c:pt idx="108">
                  <c:v>1979.000000</c:v>
                </c:pt>
                <c:pt idx="109">
                  <c:v>1980.000000</c:v>
                </c:pt>
                <c:pt idx="110">
                  <c:v>1981.000000</c:v>
                </c:pt>
                <c:pt idx="111">
                  <c:v>1982.000000</c:v>
                </c:pt>
                <c:pt idx="112">
                  <c:v>1983.000000</c:v>
                </c:pt>
                <c:pt idx="113">
                  <c:v>1984.000000</c:v>
                </c:pt>
                <c:pt idx="114">
                  <c:v>1985.000000</c:v>
                </c:pt>
                <c:pt idx="115">
                  <c:v>1986.000000</c:v>
                </c:pt>
                <c:pt idx="116">
                  <c:v>1987.000000</c:v>
                </c:pt>
                <c:pt idx="117">
                  <c:v>1988.000000</c:v>
                </c:pt>
                <c:pt idx="118">
                  <c:v>1989.000000</c:v>
                </c:pt>
                <c:pt idx="119">
                  <c:v>1990.000000</c:v>
                </c:pt>
                <c:pt idx="120">
                  <c:v>1991.000000</c:v>
                </c:pt>
                <c:pt idx="121">
                  <c:v>1992.000000</c:v>
                </c:pt>
                <c:pt idx="122">
                  <c:v>1993.000000</c:v>
                </c:pt>
                <c:pt idx="123">
                  <c:v>1994.000000</c:v>
                </c:pt>
                <c:pt idx="124">
                  <c:v>1995.000000</c:v>
                </c:pt>
                <c:pt idx="125">
                  <c:v>1996.000000</c:v>
                </c:pt>
                <c:pt idx="126">
                  <c:v>1997.000000</c:v>
                </c:pt>
                <c:pt idx="127">
                  <c:v>1998.000000</c:v>
                </c:pt>
                <c:pt idx="128">
                  <c:v>1999.000000</c:v>
                </c:pt>
                <c:pt idx="129">
                  <c:v>2000.000000</c:v>
                </c:pt>
                <c:pt idx="130">
                  <c:v>2001.000000</c:v>
                </c:pt>
                <c:pt idx="131">
                  <c:v>2002.000000</c:v>
                </c:pt>
                <c:pt idx="132">
                  <c:v>2003.000000</c:v>
                </c:pt>
                <c:pt idx="133">
                  <c:v>2004.000000</c:v>
                </c:pt>
                <c:pt idx="134">
                  <c:v>2005.000000</c:v>
                </c:pt>
                <c:pt idx="135">
                  <c:v>2006.000000</c:v>
                </c:pt>
                <c:pt idx="136">
                  <c:v>2007.000000</c:v>
                </c:pt>
                <c:pt idx="137">
                  <c:v>2008.000000</c:v>
                </c:pt>
                <c:pt idx="138">
                  <c:v>2009.000000</c:v>
                </c:pt>
              </c:numCache>
            </c:numRef>
          </c:xVal>
          <c:yVal>
            <c:numRef>
              <c:f>'Data'!$K$9:$K$147</c:f>
              <c:numCache>
                <c:ptCount val="139"/>
                <c:pt idx="0">
                  <c:v>82.031306</c:v>
                </c:pt>
                <c:pt idx="1">
                  <c:v>88.440504</c:v>
                </c:pt>
                <c:pt idx="2">
                  <c:v>90.938822</c:v>
                </c:pt>
                <c:pt idx="3">
                  <c:v>86.758333</c:v>
                </c:pt>
                <c:pt idx="4">
                  <c:v>90.810640</c:v>
                </c:pt>
                <c:pt idx="5">
                  <c:v>94.688766</c:v>
                </c:pt>
                <c:pt idx="6">
                  <c:v>74.713345</c:v>
                </c:pt>
                <c:pt idx="7">
                  <c:v>81.092508</c:v>
                </c:pt>
                <c:pt idx="8">
                  <c:v>99.593421</c:v>
                </c:pt>
                <c:pt idx="9">
                  <c:v>117.786973</c:v>
                </c:pt>
                <c:pt idx="10">
                  <c:v>151.329193</c:v>
                </c:pt>
                <c:pt idx="11">
                  <c:v>133.907656</c:v>
                </c:pt>
                <c:pt idx="12">
                  <c:v>133.922175</c:v>
                </c:pt>
                <c:pt idx="13">
                  <c:v>129.248982</c:v>
                </c:pt>
                <c:pt idx="14">
                  <c:v>117.954219</c:v>
                </c:pt>
                <c:pt idx="15">
                  <c:v>149.827481</c:v>
                </c:pt>
                <c:pt idx="16">
                  <c:v>160.776412</c:v>
                </c:pt>
                <c:pt idx="17">
                  <c:v>146.041980</c:v>
                </c:pt>
                <c:pt idx="18">
                  <c:v>150.980000</c:v>
                </c:pt>
                <c:pt idx="19">
                  <c:v>162.764459</c:v>
                </c:pt>
                <c:pt idx="20">
                  <c:v>142.856125</c:v>
                </c:pt>
                <c:pt idx="21">
                  <c:v>173.192187</c:v>
                </c:pt>
                <c:pt idx="22">
                  <c:v>163.588185</c:v>
                </c:pt>
                <c:pt idx="23">
                  <c:v>145.217429</c:v>
                </c:pt>
                <c:pt idx="24">
                  <c:v>149.075733</c:v>
                </c:pt>
                <c:pt idx="25">
                  <c:v>147.637695</c:v>
                </c:pt>
                <c:pt idx="26">
                  <c:v>150.200328</c:v>
                </c:pt>
                <c:pt idx="27">
                  <c:v>168.728794</c:v>
                </c:pt>
                <c:pt idx="28">
                  <c:v>207.258536</c:v>
                </c:pt>
                <c:pt idx="29">
                  <c:v>177.876636</c:v>
                </c:pt>
                <c:pt idx="30">
                  <c:v>211.252543</c:v>
                </c:pt>
                <c:pt idx="31">
                  <c:v>236.780047</c:v>
                </c:pt>
                <c:pt idx="32">
                  <c:v>225.006977</c:v>
                </c:pt>
                <c:pt idx="33">
                  <c:v>185.833534</c:v>
                </c:pt>
                <c:pt idx="34">
                  <c:v>229.248547</c:v>
                </c:pt>
                <c:pt idx="35">
                  <c:v>268.408442</c:v>
                </c:pt>
                <c:pt idx="36">
                  <c:v>248.796354</c:v>
                </c:pt>
                <c:pt idx="37">
                  <c:v>182.186501</c:v>
                </c:pt>
                <c:pt idx="38">
                  <c:v>233.275129</c:v>
                </c:pt>
                <c:pt idx="39">
                  <c:v>234.581468</c:v>
                </c:pt>
                <c:pt idx="40">
                  <c:v>231.300785</c:v>
                </c:pt>
                <c:pt idx="41">
                  <c:v>229.926916</c:v>
                </c:pt>
                <c:pt idx="42">
                  <c:v>218.531020</c:v>
                </c:pt>
                <c:pt idx="43">
                  <c:v>192.744360</c:v>
                </c:pt>
                <c:pt idx="44">
                  <c:v>170.544000</c:v>
                </c:pt>
                <c:pt idx="45">
                  <c:v>206.587731</c:v>
                </c:pt>
                <c:pt idx="46">
                  <c:v>188.357231</c:v>
                </c:pt>
                <c:pt idx="47">
                  <c:v>118.594200</c:v>
                </c:pt>
                <c:pt idx="48">
                  <c:v>109.557455</c:v>
                </c:pt>
                <c:pt idx="49">
                  <c:v>105.356083</c:v>
                </c:pt>
                <c:pt idx="50">
                  <c:v>86.173200</c:v>
                </c:pt>
                <c:pt idx="51">
                  <c:v>99.470059</c:v>
                </c:pt>
                <c:pt idx="52">
                  <c:v>121.993571</c:v>
                </c:pt>
                <c:pt idx="53">
                  <c:v>117.535977</c:v>
                </c:pt>
                <c:pt idx="54">
                  <c:v>140.830197</c:v>
                </c:pt>
                <c:pt idx="55">
                  <c:v>162.739777</c:v>
                </c:pt>
                <c:pt idx="56">
                  <c:v>176.328686</c:v>
                </c:pt>
                <c:pt idx="57">
                  <c:v>233.341526</c:v>
                </c:pt>
                <c:pt idx="58">
                  <c:v>334.781333</c:v>
                </c:pt>
                <c:pt idx="59">
                  <c:v>292.361333</c:v>
                </c:pt>
                <c:pt idx="60">
                  <c:v>231.438642</c:v>
                </c:pt>
                <c:pt idx="61">
                  <c:v>133.659021</c:v>
                </c:pt>
                <c:pt idx="62">
                  <c:v>126.564744</c:v>
                </c:pt>
                <c:pt idx="63">
                  <c:v>183.875091</c:v>
                </c:pt>
                <c:pt idx="64">
                  <c:v>156.793588</c:v>
                </c:pt>
                <c:pt idx="65">
                  <c:v>229.612522</c:v>
                </c:pt>
                <c:pt idx="66">
                  <c:v>287.278383</c:v>
                </c:pt>
                <c:pt idx="67">
                  <c:v>183.413155</c:v>
                </c:pt>
                <c:pt idx="68">
                  <c:v>205.607143</c:v>
                </c:pt>
                <c:pt idx="69">
                  <c:v>203.772950</c:v>
                </c:pt>
                <c:pt idx="70">
                  <c:v>172.301702</c:v>
                </c:pt>
                <c:pt idx="71">
                  <c:v>130.980917</c:v>
                </c:pt>
                <c:pt idx="72">
                  <c:v>137.486698</c:v>
                </c:pt>
                <c:pt idx="73">
                  <c:v>156.828621</c:v>
                </c:pt>
                <c:pt idx="74">
                  <c:v>174.521191</c:v>
                </c:pt>
                <c:pt idx="75">
                  <c:v>228.002505</c:v>
                </c:pt>
                <c:pt idx="76">
                  <c:v>162.909712</c:v>
                </c:pt>
                <c:pt idx="77">
                  <c:v>144.095038</c:v>
                </c:pt>
                <c:pt idx="78">
                  <c:v>147.379200</c:v>
                </c:pt>
                <c:pt idx="79">
                  <c:v>165.409634</c:v>
                </c:pt>
                <c:pt idx="80">
                  <c:v>192.292866</c:v>
                </c:pt>
                <c:pt idx="81">
                  <c:v>210.206536</c:v>
                </c:pt>
                <c:pt idx="82">
                  <c:v>226.644000</c:v>
                </c:pt>
                <c:pt idx="83">
                  <c:v>217.952743</c:v>
                </c:pt>
                <c:pt idx="84">
                  <c:v>307.040000</c:v>
                </c:pt>
                <c:pt idx="85">
                  <c:v>379.360522</c:v>
                </c:pt>
                <c:pt idx="86">
                  <c:v>379.044217</c:v>
                </c:pt>
                <c:pt idx="87">
                  <c:v>331.087888</c:v>
                </c:pt>
                <c:pt idx="88">
                  <c:v>441.661159</c:v>
                </c:pt>
                <c:pt idx="89">
                  <c:v>456.080150</c:v>
                </c:pt>
                <c:pt idx="90">
                  <c:v>461.487302</c:v>
                </c:pt>
                <c:pt idx="91">
                  <c:v>530.181320</c:v>
                </c:pt>
                <c:pt idx="92">
                  <c:v>492.829500</c:v>
                </c:pt>
                <c:pt idx="93">
                  <c:v>569.738058</c:v>
                </c:pt>
                <c:pt idx="94">
                  <c:v>635.631846</c:v>
                </c:pt>
                <c:pt idx="95">
                  <c:v>675.777660</c:v>
                </c:pt>
                <c:pt idx="96">
                  <c:v>591.098663</c:v>
                </c:pt>
                <c:pt idx="97">
                  <c:v>641.812645</c:v>
                </c:pt>
                <c:pt idx="98">
                  <c:v>660.049753</c:v>
                </c:pt>
                <c:pt idx="99">
                  <c:v>550.174254</c:v>
                </c:pt>
                <c:pt idx="100">
                  <c:v>540.926563</c:v>
                </c:pt>
                <c:pt idx="101">
                  <c:v>578.781606</c:v>
                </c:pt>
                <c:pt idx="102">
                  <c:v>640.135155</c:v>
                </c:pt>
                <c:pt idx="103">
                  <c:v>474.940146</c:v>
                </c:pt>
                <c:pt idx="104">
                  <c:v>320.712415</c:v>
                </c:pt>
                <c:pt idx="105">
                  <c:v>401.167640</c:v>
                </c:pt>
                <c:pt idx="106">
                  <c:v>408.638749</c:v>
                </c:pt>
                <c:pt idx="107">
                  <c:v>332.524320</c:v>
                </c:pt>
                <c:pt idx="108">
                  <c:v>336.181827</c:v>
                </c:pt>
                <c:pt idx="109">
                  <c:v>328.163799</c:v>
                </c:pt>
                <c:pt idx="110">
                  <c:v>351.957834</c:v>
                </c:pt>
                <c:pt idx="111">
                  <c:v>286.397014</c:v>
                </c:pt>
                <c:pt idx="112">
                  <c:v>339.698319</c:v>
                </c:pt>
                <c:pt idx="113">
                  <c:v>376.018540</c:v>
                </c:pt>
                <c:pt idx="114">
                  <c:v>374.581524</c:v>
                </c:pt>
                <c:pt idx="115">
                  <c:v>437.426945</c:v>
                </c:pt>
                <c:pt idx="116">
                  <c:v>547.764054</c:v>
                </c:pt>
                <c:pt idx="117">
                  <c:v>498.535302</c:v>
                </c:pt>
                <c:pt idx="118">
                  <c:v>542.726794</c:v>
                </c:pt>
                <c:pt idx="119">
                  <c:v>614.507783</c:v>
                </c:pt>
                <c:pt idx="120">
                  <c:v>556.880684</c:v>
                </c:pt>
                <c:pt idx="121">
                  <c:v>693.808127</c:v>
                </c:pt>
                <c:pt idx="122">
                  <c:v>702.838460</c:v>
                </c:pt>
                <c:pt idx="123">
                  <c:v>745.007778</c:v>
                </c:pt>
                <c:pt idx="124">
                  <c:v>712.826148</c:v>
                </c:pt>
                <c:pt idx="125">
                  <c:v>916.377187</c:v>
                </c:pt>
                <c:pt idx="126">
                  <c:v>1109.020375</c:v>
                </c:pt>
                <c:pt idx="127">
                  <c:v>1372.788000</c:v>
                </c:pt>
                <c:pt idx="128">
                  <c:v>1750.254142</c:v>
                </c:pt>
                <c:pt idx="129">
                  <c:v>1944.815552</c:v>
                </c:pt>
                <c:pt idx="130">
                  <c:v>1756.532704</c:v>
                </c:pt>
                <c:pt idx="131">
                  <c:v>1482.594911</c:v>
                </c:pt>
                <c:pt idx="132">
                  <c:v>1135.355174</c:v>
                </c:pt>
                <c:pt idx="133">
                  <c:v>1408.189555</c:v>
                </c:pt>
                <c:pt idx="134">
                  <c:v>1426.612977</c:v>
                </c:pt>
                <c:pt idx="135">
                  <c:v>1484.951812</c:v>
                </c:pt>
                <c:pt idx="136">
                  <c:v>1620.205739</c:v>
                </c:pt>
                <c:pt idx="137">
                  <c:v>1503.460805</c:v>
                </c:pt>
                <c:pt idx="138">
                  <c:v>944.032065</c:v>
                </c:pt>
              </c:numCache>
            </c:numRef>
          </c:yVal>
          <c:smooth val="0"/>
        </c:ser>
        <c:ser>
          <c:idx val="1"/>
          <c:order val="1"/>
          <c:tx>
            <c:v>P* Const</c:v>
          </c:tx>
          <c:spPr>
            <a:noFill/>
            <a:ln w="25400" cap="flat">
              <a:solidFill>
                <a:srgbClr val="000000"/>
              </a:solidFill>
              <a:prstDash val="solid"/>
              <a:round/>
            </a:ln>
            <a:effectLst/>
          </c:spPr>
          <c:marker>
            <c:symbol val="none"/>
            <c:size val="5"/>
            <c:spPr>
              <a:noFill/>
              <a:ln w="25400" cap="flat">
                <a:solidFill>
                  <a:srgbClr val="000000"/>
                </a:solidFill>
                <a:prstDash val="solid"/>
                <a:round/>
              </a:ln>
              <a:effectLst/>
            </c:spPr>
          </c:marker>
          <c:dLbls>
            <c:numFmt formatCode="General" sourceLinked="1"/>
            <c:txPr>
              <a:bodyPr/>
              <a:lstStyle/>
              <a:p>
                <a:pPr>
                  <a:defRPr b="0" i="0" strike="noStrike" sz="1000" u="none">
                    <a:solidFill>
                      <a:srgbClr val="000000"/>
                    </a:solidFill>
                    <a:latin typeface="Arial"/>
                  </a:defRPr>
                </a:pPr>
              </a:p>
            </c:txPr>
            <c:dLblPos val="t"/>
            <c:showLegendKey val="0"/>
            <c:showVal val="0"/>
            <c:showCatName val="0"/>
            <c:showSerName val="0"/>
            <c:showPercent val="0"/>
            <c:showBubbleSize val="0"/>
            <c:showLeaderLines val="0"/>
          </c:dLbls>
          <c:xVal>
            <c:numRef>
              <c:f>'Data'!$J$9:$J$147</c:f>
              <c:numCache>
                <c:ptCount val="139"/>
                <c:pt idx="0">
                  <c:v>1871.000000</c:v>
                </c:pt>
                <c:pt idx="1">
                  <c:v>1872.000000</c:v>
                </c:pt>
                <c:pt idx="2">
                  <c:v>1873.000000</c:v>
                </c:pt>
                <c:pt idx="3">
                  <c:v>1874.000000</c:v>
                </c:pt>
                <c:pt idx="4">
                  <c:v>1875.000000</c:v>
                </c:pt>
                <c:pt idx="5">
                  <c:v>1876.000000</c:v>
                </c:pt>
                <c:pt idx="6">
                  <c:v>1877.000000</c:v>
                </c:pt>
                <c:pt idx="7">
                  <c:v>1878.000000</c:v>
                </c:pt>
                <c:pt idx="8">
                  <c:v>1879.000000</c:v>
                </c:pt>
                <c:pt idx="9">
                  <c:v>1880.000000</c:v>
                </c:pt>
                <c:pt idx="10">
                  <c:v>1881.000000</c:v>
                </c:pt>
                <c:pt idx="11">
                  <c:v>1882.000000</c:v>
                </c:pt>
                <c:pt idx="12">
                  <c:v>1883.000000</c:v>
                </c:pt>
                <c:pt idx="13">
                  <c:v>1884.000000</c:v>
                </c:pt>
                <c:pt idx="14">
                  <c:v>1885.000000</c:v>
                </c:pt>
                <c:pt idx="15">
                  <c:v>1886.000000</c:v>
                </c:pt>
                <c:pt idx="16">
                  <c:v>1887.000000</c:v>
                </c:pt>
                <c:pt idx="17">
                  <c:v>1888.000000</c:v>
                </c:pt>
                <c:pt idx="18">
                  <c:v>1889.000000</c:v>
                </c:pt>
                <c:pt idx="19">
                  <c:v>1890.000000</c:v>
                </c:pt>
                <c:pt idx="20">
                  <c:v>1891.000000</c:v>
                </c:pt>
                <c:pt idx="21">
                  <c:v>1892.000000</c:v>
                </c:pt>
                <c:pt idx="22">
                  <c:v>1893.000000</c:v>
                </c:pt>
                <c:pt idx="23">
                  <c:v>1894.000000</c:v>
                </c:pt>
                <c:pt idx="24">
                  <c:v>1895.000000</c:v>
                </c:pt>
                <c:pt idx="25">
                  <c:v>1896.000000</c:v>
                </c:pt>
                <c:pt idx="26">
                  <c:v>1897.000000</c:v>
                </c:pt>
                <c:pt idx="27">
                  <c:v>1898.000000</c:v>
                </c:pt>
                <c:pt idx="28">
                  <c:v>1899.000000</c:v>
                </c:pt>
                <c:pt idx="29">
                  <c:v>1900.000000</c:v>
                </c:pt>
                <c:pt idx="30">
                  <c:v>1901.000000</c:v>
                </c:pt>
                <c:pt idx="31">
                  <c:v>1902.000000</c:v>
                </c:pt>
                <c:pt idx="32">
                  <c:v>1903.000000</c:v>
                </c:pt>
                <c:pt idx="33">
                  <c:v>1904.000000</c:v>
                </c:pt>
                <c:pt idx="34">
                  <c:v>1905.000000</c:v>
                </c:pt>
                <c:pt idx="35">
                  <c:v>1906.000000</c:v>
                </c:pt>
                <c:pt idx="36">
                  <c:v>1907.000000</c:v>
                </c:pt>
                <c:pt idx="37">
                  <c:v>1908.000000</c:v>
                </c:pt>
                <c:pt idx="38">
                  <c:v>1909.000000</c:v>
                </c:pt>
                <c:pt idx="39">
                  <c:v>1910.000000</c:v>
                </c:pt>
                <c:pt idx="40">
                  <c:v>1911.000000</c:v>
                </c:pt>
                <c:pt idx="41">
                  <c:v>1912.000000</c:v>
                </c:pt>
                <c:pt idx="42">
                  <c:v>1913.000000</c:v>
                </c:pt>
                <c:pt idx="43">
                  <c:v>1914.000000</c:v>
                </c:pt>
                <c:pt idx="44">
                  <c:v>1915.000000</c:v>
                </c:pt>
                <c:pt idx="45">
                  <c:v>1916.000000</c:v>
                </c:pt>
                <c:pt idx="46">
                  <c:v>1917.000000</c:v>
                </c:pt>
                <c:pt idx="47">
                  <c:v>1918.000000</c:v>
                </c:pt>
                <c:pt idx="48">
                  <c:v>1919.000000</c:v>
                </c:pt>
                <c:pt idx="49">
                  <c:v>1920.000000</c:v>
                </c:pt>
                <c:pt idx="50">
                  <c:v>1921.000000</c:v>
                </c:pt>
                <c:pt idx="51">
                  <c:v>1922.000000</c:v>
                </c:pt>
                <c:pt idx="52">
                  <c:v>1923.000000</c:v>
                </c:pt>
                <c:pt idx="53">
                  <c:v>1924.000000</c:v>
                </c:pt>
                <c:pt idx="54">
                  <c:v>1925.000000</c:v>
                </c:pt>
                <c:pt idx="55">
                  <c:v>1926.000000</c:v>
                </c:pt>
                <c:pt idx="56">
                  <c:v>1927.000000</c:v>
                </c:pt>
                <c:pt idx="57">
                  <c:v>1928.000000</c:v>
                </c:pt>
                <c:pt idx="58">
                  <c:v>1929.000000</c:v>
                </c:pt>
                <c:pt idx="59">
                  <c:v>1930.000000</c:v>
                </c:pt>
                <c:pt idx="60">
                  <c:v>1931.000000</c:v>
                </c:pt>
                <c:pt idx="61">
                  <c:v>1932.000000</c:v>
                </c:pt>
                <c:pt idx="62">
                  <c:v>1933.000000</c:v>
                </c:pt>
                <c:pt idx="63">
                  <c:v>1934.000000</c:v>
                </c:pt>
                <c:pt idx="64">
                  <c:v>1935.000000</c:v>
                </c:pt>
                <c:pt idx="65">
                  <c:v>1936.000000</c:v>
                </c:pt>
                <c:pt idx="66">
                  <c:v>1937.000000</c:v>
                </c:pt>
                <c:pt idx="67">
                  <c:v>1938.000000</c:v>
                </c:pt>
                <c:pt idx="68">
                  <c:v>1939.000000</c:v>
                </c:pt>
                <c:pt idx="69">
                  <c:v>1940.000000</c:v>
                </c:pt>
                <c:pt idx="70">
                  <c:v>1941.000000</c:v>
                </c:pt>
                <c:pt idx="71">
                  <c:v>1942.000000</c:v>
                </c:pt>
                <c:pt idx="72">
                  <c:v>1943.000000</c:v>
                </c:pt>
                <c:pt idx="73">
                  <c:v>1944.000000</c:v>
                </c:pt>
                <c:pt idx="74">
                  <c:v>1945.000000</c:v>
                </c:pt>
                <c:pt idx="75">
                  <c:v>1946.000000</c:v>
                </c:pt>
                <c:pt idx="76">
                  <c:v>1947.000000</c:v>
                </c:pt>
                <c:pt idx="77">
                  <c:v>1948.000000</c:v>
                </c:pt>
                <c:pt idx="78">
                  <c:v>1949.000000</c:v>
                </c:pt>
                <c:pt idx="79">
                  <c:v>1950.000000</c:v>
                </c:pt>
                <c:pt idx="80">
                  <c:v>1951.000000</c:v>
                </c:pt>
                <c:pt idx="81">
                  <c:v>1952.000000</c:v>
                </c:pt>
                <c:pt idx="82">
                  <c:v>1953.000000</c:v>
                </c:pt>
                <c:pt idx="83">
                  <c:v>1954.000000</c:v>
                </c:pt>
                <c:pt idx="84">
                  <c:v>1955.000000</c:v>
                </c:pt>
                <c:pt idx="85">
                  <c:v>1956.000000</c:v>
                </c:pt>
                <c:pt idx="86">
                  <c:v>1957.000000</c:v>
                </c:pt>
                <c:pt idx="87">
                  <c:v>1958.000000</c:v>
                </c:pt>
                <c:pt idx="88">
                  <c:v>1959.000000</c:v>
                </c:pt>
                <c:pt idx="89">
                  <c:v>1960.000000</c:v>
                </c:pt>
                <c:pt idx="90">
                  <c:v>1961.000000</c:v>
                </c:pt>
                <c:pt idx="91">
                  <c:v>1962.000000</c:v>
                </c:pt>
                <c:pt idx="92">
                  <c:v>1963.000000</c:v>
                </c:pt>
                <c:pt idx="93">
                  <c:v>1964.000000</c:v>
                </c:pt>
                <c:pt idx="94">
                  <c:v>1965.000000</c:v>
                </c:pt>
                <c:pt idx="95">
                  <c:v>1966.000000</c:v>
                </c:pt>
                <c:pt idx="96">
                  <c:v>1967.000000</c:v>
                </c:pt>
                <c:pt idx="97">
                  <c:v>1968.000000</c:v>
                </c:pt>
                <c:pt idx="98">
                  <c:v>1969.000000</c:v>
                </c:pt>
                <c:pt idx="99">
                  <c:v>1970.000000</c:v>
                </c:pt>
                <c:pt idx="100">
                  <c:v>1971.000000</c:v>
                </c:pt>
                <c:pt idx="101">
                  <c:v>1972.000000</c:v>
                </c:pt>
                <c:pt idx="102">
                  <c:v>1973.000000</c:v>
                </c:pt>
                <c:pt idx="103">
                  <c:v>1974.000000</c:v>
                </c:pt>
                <c:pt idx="104">
                  <c:v>1975.000000</c:v>
                </c:pt>
                <c:pt idx="105">
                  <c:v>1976.000000</c:v>
                </c:pt>
                <c:pt idx="106">
                  <c:v>1977.000000</c:v>
                </c:pt>
                <c:pt idx="107">
                  <c:v>1978.000000</c:v>
                </c:pt>
                <c:pt idx="108">
                  <c:v>1979.000000</c:v>
                </c:pt>
                <c:pt idx="109">
                  <c:v>1980.000000</c:v>
                </c:pt>
                <c:pt idx="110">
                  <c:v>1981.000000</c:v>
                </c:pt>
                <c:pt idx="111">
                  <c:v>1982.000000</c:v>
                </c:pt>
                <c:pt idx="112">
                  <c:v>1983.000000</c:v>
                </c:pt>
                <c:pt idx="113">
                  <c:v>1984.000000</c:v>
                </c:pt>
                <c:pt idx="114">
                  <c:v>1985.000000</c:v>
                </c:pt>
                <c:pt idx="115">
                  <c:v>1986.000000</c:v>
                </c:pt>
                <c:pt idx="116">
                  <c:v>1987.000000</c:v>
                </c:pt>
                <c:pt idx="117">
                  <c:v>1988.000000</c:v>
                </c:pt>
                <c:pt idx="118">
                  <c:v>1989.000000</c:v>
                </c:pt>
                <c:pt idx="119">
                  <c:v>1990.000000</c:v>
                </c:pt>
                <c:pt idx="120">
                  <c:v>1991.000000</c:v>
                </c:pt>
                <c:pt idx="121">
                  <c:v>1992.000000</c:v>
                </c:pt>
                <c:pt idx="122">
                  <c:v>1993.000000</c:v>
                </c:pt>
                <c:pt idx="123">
                  <c:v>1994.000000</c:v>
                </c:pt>
                <c:pt idx="124">
                  <c:v>1995.000000</c:v>
                </c:pt>
                <c:pt idx="125">
                  <c:v>1996.000000</c:v>
                </c:pt>
                <c:pt idx="126">
                  <c:v>1997.000000</c:v>
                </c:pt>
                <c:pt idx="127">
                  <c:v>1998.000000</c:v>
                </c:pt>
                <c:pt idx="128">
                  <c:v>1999.000000</c:v>
                </c:pt>
                <c:pt idx="129">
                  <c:v>2000.000000</c:v>
                </c:pt>
                <c:pt idx="130">
                  <c:v>2001.000000</c:v>
                </c:pt>
                <c:pt idx="131">
                  <c:v>2002.000000</c:v>
                </c:pt>
                <c:pt idx="132">
                  <c:v>2003.000000</c:v>
                </c:pt>
                <c:pt idx="133">
                  <c:v>2004.000000</c:v>
                </c:pt>
                <c:pt idx="134">
                  <c:v>2005.000000</c:v>
                </c:pt>
                <c:pt idx="135">
                  <c:v>2006.000000</c:v>
                </c:pt>
                <c:pt idx="136">
                  <c:v>2007.000000</c:v>
                </c:pt>
                <c:pt idx="137">
                  <c:v>2008.000000</c:v>
                </c:pt>
                <c:pt idx="138">
                  <c:v>2009.000000</c:v>
                </c:pt>
              </c:numCache>
            </c:numRef>
          </c:xVal>
          <c:yVal>
            <c:numRef>
              <c:f>'Data'!$L$9:$L$147</c:f>
              <c:numCache>
                <c:ptCount val="139"/>
                <c:pt idx="0">
                  <c:v>112.018600</c:v>
                </c:pt>
                <c:pt idx="1">
                  <c:v>114.293958</c:v>
                </c:pt>
                <c:pt idx="2">
                  <c:v>116.070752</c:v>
                </c:pt>
                <c:pt idx="3">
                  <c:v>117.106059</c:v>
                </c:pt>
                <c:pt idx="4">
                  <c:v>117.722196</c:v>
                </c:pt>
                <c:pt idx="5">
                  <c:v>118.625268</c:v>
                </c:pt>
                <c:pt idx="6">
                  <c:v>119.646333</c:v>
                </c:pt>
                <c:pt idx="7">
                  <c:v>122.409822</c:v>
                </c:pt>
                <c:pt idx="8">
                  <c:v>125.069676</c:v>
                </c:pt>
                <c:pt idx="9">
                  <c:v>128.326628</c:v>
                </c:pt>
                <c:pt idx="10">
                  <c:v>129.935984</c:v>
                </c:pt>
                <c:pt idx="11">
                  <c:v>130.710910</c:v>
                </c:pt>
                <c:pt idx="12">
                  <c:v>131.389602</c:v>
                </c:pt>
                <c:pt idx="13">
                  <c:v>131.198672</c:v>
                </c:pt>
                <c:pt idx="14">
                  <c:v>130.579801</c:v>
                </c:pt>
                <c:pt idx="15">
                  <c:v>131.741014</c:v>
                </c:pt>
                <c:pt idx="16">
                  <c:v>133.591958</c:v>
                </c:pt>
                <c:pt idx="17">
                  <c:v>134.991772</c:v>
                </c:pt>
                <c:pt idx="18">
                  <c:v>136.748070</c:v>
                </c:pt>
                <c:pt idx="19">
                  <c:v>138.588376</c:v>
                </c:pt>
                <c:pt idx="20">
                  <c:v>140.721807</c:v>
                </c:pt>
                <c:pt idx="21">
                  <c:v>142.545377</c:v>
                </c:pt>
                <c:pt idx="22">
                  <c:v>144.399290</c:v>
                </c:pt>
                <c:pt idx="23">
                  <c:v>144.877135</c:v>
                </c:pt>
                <c:pt idx="24">
                  <c:v>146.491649</c:v>
                </c:pt>
                <c:pt idx="25">
                  <c:v>149.060374</c:v>
                </c:pt>
                <c:pt idx="26">
                  <c:v>151.970194</c:v>
                </c:pt>
                <c:pt idx="27">
                  <c:v>155.265049</c:v>
                </c:pt>
                <c:pt idx="28">
                  <c:v>158.142174</c:v>
                </c:pt>
                <c:pt idx="29">
                  <c:v>161.946621</c:v>
                </c:pt>
                <c:pt idx="30">
                  <c:v>162.973610</c:v>
                </c:pt>
                <c:pt idx="31">
                  <c:v>163.676495</c:v>
                </c:pt>
                <c:pt idx="32">
                  <c:v>165.015855</c:v>
                </c:pt>
                <c:pt idx="33">
                  <c:v>165.420076</c:v>
                </c:pt>
                <c:pt idx="34">
                  <c:v>167.242555</c:v>
                </c:pt>
                <c:pt idx="35">
                  <c:v>168.604650</c:v>
                </c:pt>
                <c:pt idx="36">
                  <c:v>168.526188</c:v>
                </c:pt>
                <c:pt idx="37">
                  <c:v>167.065582</c:v>
                </c:pt>
                <c:pt idx="38">
                  <c:v>167.004607</c:v>
                </c:pt>
                <c:pt idx="39">
                  <c:v>167.002988</c:v>
                </c:pt>
                <c:pt idx="40">
                  <c:v>165.416556</c:v>
                </c:pt>
                <c:pt idx="41">
                  <c:v>163.596464</c:v>
                </c:pt>
                <c:pt idx="42">
                  <c:v>162.265033</c:v>
                </c:pt>
                <c:pt idx="43">
                  <c:v>161.086962</c:v>
                </c:pt>
                <c:pt idx="44">
                  <c:v>161.405881</c:v>
                </c:pt>
                <c:pt idx="45">
                  <c:v>161.804016</c:v>
                </c:pt>
                <c:pt idx="46">
                  <c:v>160.629384</c:v>
                </c:pt>
                <c:pt idx="47">
                  <c:v>159.029081</c:v>
                </c:pt>
                <c:pt idx="48">
                  <c:v>160.940333</c:v>
                </c:pt>
                <c:pt idx="49">
                  <c:v>164.714324</c:v>
                </c:pt>
                <c:pt idx="50">
                  <c:v>168.886649</c:v>
                </c:pt>
                <c:pt idx="51">
                  <c:v>173.239018</c:v>
                </c:pt>
                <c:pt idx="52">
                  <c:v>177.105770</c:v>
                </c:pt>
                <c:pt idx="53">
                  <c:v>181.156683</c:v>
                </c:pt>
                <c:pt idx="54">
                  <c:v>185.188549</c:v>
                </c:pt>
                <c:pt idx="55">
                  <c:v>189.059904</c:v>
                </c:pt>
                <c:pt idx="56">
                  <c:v>191.734495</c:v>
                </c:pt>
                <c:pt idx="57">
                  <c:v>193.337513</c:v>
                </c:pt>
                <c:pt idx="58">
                  <c:v>193.769824</c:v>
                </c:pt>
                <c:pt idx="59">
                  <c:v>192.508831</c:v>
                </c:pt>
                <c:pt idx="60">
                  <c:v>189.960948</c:v>
                </c:pt>
                <c:pt idx="61">
                  <c:v>188.299716</c:v>
                </c:pt>
                <c:pt idx="62">
                  <c:v>191.088750</c:v>
                </c:pt>
                <c:pt idx="63">
                  <c:v>195.391120</c:v>
                </c:pt>
                <c:pt idx="64">
                  <c:v>200.034598</c:v>
                </c:pt>
                <c:pt idx="65">
                  <c:v>204.743439</c:v>
                </c:pt>
                <c:pt idx="66">
                  <c:v>205.587943</c:v>
                </c:pt>
                <c:pt idx="67">
                  <c:v>205.193737</c:v>
                </c:pt>
                <c:pt idx="68">
                  <c:v>209.657959</c:v>
                </c:pt>
                <c:pt idx="69">
                  <c:v>212.408064</c:v>
                </c:pt>
                <c:pt idx="70">
                  <c:v>214.623057</c:v>
                </c:pt>
                <c:pt idx="71">
                  <c:v>217.545666</c:v>
                </c:pt>
                <c:pt idx="72">
                  <c:v>223.188801</c:v>
                </c:pt>
                <c:pt idx="73">
                  <c:v>229.164606</c:v>
                </c:pt>
                <c:pt idx="74">
                  <c:v>235.310486</c:v>
                </c:pt>
                <c:pt idx="75">
                  <c:v>241.782018</c:v>
                </c:pt>
                <c:pt idx="76">
                  <c:v>249.471146</c:v>
                </c:pt>
                <c:pt idx="77">
                  <c:v>257.068819</c:v>
                </c:pt>
                <c:pt idx="78">
                  <c:v>264.351422</c:v>
                </c:pt>
                <c:pt idx="79">
                  <c:v>269.715167</c:v>
                </c:pt>
                <c:pt idx="80">
                  <c:v>273.132192</c:v>
                </c:pt>
                <c:pt idx="81">
                  <c:v>277.917153</c:v>
                </c:pt>
                <c:pt idx="82">
                  <c:v>283.063681</c:v>
                </c:pt>
                <c:pt idx="83">
                  <c:v>288.326557</c:v>
                </c:pt>
                <c:pt idx="84">
                  <c:v>293.007171</c:v>
                </c:pt>
                <c:pt idx="85">
                  <c:v>297.130894</c:v>
                </c:pt>
                <c:pt idx="86">
                  <c:v>301.070225</c:v>
                </c:pt>
                <c:pt idx="87">
                  <c:v>305.378709</c:v>
                </c:pt>
                <c:pt idx="88">
                  <c:v>310.518722</c:v>
                </c:pt>
                <c:pt idx="89">
                  <c:v>315.476181</c:v>
                </c:pt>
                <c:pt idx="90">
                  <c:v>320.026620</c:v>
                </c:pt>
                <c:pt idx="91">
                  <c:v>324.408848</c:v>
                </c:pt>
                <c:pt idx="92">
                  <c:v>328.406948</c:v>
                </c:pt>
                <c:pt idx="93">
                  <c:v>331.753417</c:v>
                </c:pt>
                <c:pt idx="94">
                  <c:v>333.762675</c:v>
                </c:pt>
                <c:pt idx="95">
                  <c:v>334.576863</c:v>
                </c:pt>
                <c:pt idx="96">
                  <c:v>335.027316</c:v>
                </c:pt>
                <c:pt idx="97">
                  <c:v>335.900568</c:v>
                </c:pt>
                <c:pt idx="98">
                  <c:v>336.682320</c:v>
                </c:pt>
                <c:pt idx="99">
                  <c:v>338.162297</c:v>
                </c:pt>
                <c:pt idx="100">
                  <c:v>340.892765</c:v>
                </c:pt>
                <c:pt idx="101">
                  <c:v>344.831555</c:v>
                </c:pt>
                <c:pt idx="102">
                  <c:v>349.212110</c:v>
                </c:pt>
                <c:pt idx="103">
                  <c:v>354.225013</c:v>
                </c:pt>
                <c:pt idx="104">
                  <c:v>360.407800</c:v>
                </c:pt>
                <c:pt idx="105">
                  <c:v>367.708458</c:v>
                </c:pt>
                <c:pt idx="106">
                  <c:v>374.739228</c:v>
                </c:pt>
                <c:pt idx="107">
                  <c:v>380.882550</c:v>
                </c:pt>
                <c:pt idx="108">
                  <c:v>387.546963</c:v>
                </c:pt>
                <c:pt idx="109">
                  <c:v>395.041390</c:v>
                </c:pt>
                <c:pt idx="110">
                  <c:v>403.471135</c:v>
                </c:pt>
                <c:pt idx="111">
                  <c:v>412.573353</c:v>
                </c:pt>
                <c:pt idx="112">
                  <c:v>422.285263</c:v>
                </c:pt>
                <c:pt idx="113">
                  <c:v>432.795163</c:v>
                </c:pt>
                <c:pt idx="114">
                  <c:v>443.550757</c:v>
                </c:pt>
                <c:pt idx="115">
                  <c:v>454.835613</c:v>
                </c:pt>
                <c:pt idx="116">
                  <c:v>466.273570</c:v>
                </c:pt>
                <c:pt idx="117">
                  <c:v>478.045213</c:v>
                </c:pt>
                <c:pt idx="118">
                  <c:v>489.514389</c:v>
                </c:pt>
                <c:pt idx="119">
                  <c:v>500.186789</c:v>
                </c:pt>
                <c:pt idx="120">
                  <c:v>510.818141</c:v>
                </c:pt>
                <c:pt idx="121">
                  <c:v>522.506859</c:v>
                </c:pt>
                <c:pt idx="122">
                  <c:v>535.315980</c:v>
                </c:pt>
                <c:pt idx="123">
                  <c:v>549.167684</c:v>
                </c:pt>
                <c:pt idx="124">
                  <c:v>563.536845</c:v>
                </c:pt>
                <c:pt idx="125">
                  <c:v>578.430156</c:v>
                </c:pt>
                <c:pt idx="126">
                  <c:v>593.231851</c:v>
                </c:pt>
                <c:pt idx="127">
                  <c:v>608.444804</c:v>
                </c:pt>
                <c:pt idx="128">
                  <c:v>623.992782</c:v>
                </c:pt>
                <c:pt idx="129">
                  <c:v>640.488886</c:v>
                </c:pt>
                <c:pt idx="130">
                  <c:v>659.523460</c:v>
                </c:pt>
                <c:pt idx="131">
                  <c:v>680.792728</c:v>
                </c:pt>
                <c:pt idx="132">
                  <c:v>703.557488</c:v>
                </c:pt>
                <c:pt idx="133">
                  <c:v>726.470513</c:v>
                </c:pt>
                <c:pt idx="134">
                  <c:v>748.907157</c:v>
                </c:pt>
                <c:pt idx="135">
                  <c:v>770.328377</c:v>
                </c:pt>
                <c:pt idx="136">
                  <c:v>790.483742</c:v>
                </c:pt>
                <c:pt idx="137">
                  <c:v>809.896062</c:v>
                </c:pt>
                <c:pt idx="138">
                  <c:v>829.803694</c:v>
                </c:pt>
              </c:numCache>
            </c:numRef>
          </c:yVal>
          <c:smooth val="0"/>
        </c:ser>
        <c:ser>
          <c:idx val="2"/>
          <c:order val="2"/>
          <c:tx>
            <c:v>P* r</c:v>
          </c:tx>
          <c:spPr>
            <a:noFill/>
            <a:ln w="12700" cap="flat">
              <a:solidFill>
                <a:srgbClr val="558ED5"/>
              </a:solidFill>
              <a:prstDash val="solid"/>
              <a:round/>
            </a:ln>
            <a:effectLst/>
          </c:spPr>
          <c:marker>
            <c:symbol val="none"/>
            <c:size val="4"/>
            <c:spPr>
              <a:noFill/>
              <a:ln w="12700" cap="flat">
                <a:solidFill>
                  <a:srgbClr val="558ED5"/>
                </a:solidFill>
                <a:prstDash val="solid"/>
                <a:round/>
              </a:ln>
              <a:effectLst/>
            </c:spPr>
          </c:marker>
          <c:dLbls>
            <c:numFmt formatCode="General" sourceLinked="1"/>
            <c:txPr>
              <a:bodyPr/>
              <a:lstStyle/>
              <a:p>
                <a:pPr>
                  <a:defRPr b="0" i="0" strike="noStrike" sz="1000" u="none">
                    <a:solidFill>
                      <a:srgbClr val="000000"/>
                    </a:solidFill>
                    <a:latin typeface="Arial"/>
                  </a:defRPr>
                </a:pPr>
              </a:p>
            </c:txPr>
            <c:dLblPos val="t"/>
            <c:showLegendKey val="0"/>
            <c:showVal val="0"/>
            <c:showCatName val="0"/>
            <c:showSerName val="0"/>
            <c:showPercent val="0"/>
            <c:showBubbleSize val="0"/>
            <c:showLeaderLines val="0"/>
          </c:dLbls>
          <c:xVal>
            <c:numRef>
              <c:f>'Data'!$J$9:$J$147</c:f>
              <c:numCache>
                <c:ptCount val="139"/>
                <c:pt idx="0">
                  <c:v>1871.000000</c:v>
                </c:pt>
                <c:pt idx="1">
                  <c:v>1872.000000</c:v>
                </c:pt>
                <c:pt idx="2">
                  <c:v>1873.000000</c:v>
                </c:pt>
                <c:pt idx="3">
                  <c:v>1874.000000</c:v>
                </c:pt>
                <c:pt idx="4">
                  <c:v>1875.000000</c:v>
                </c:pt>
                <c:pt idx="5">
                  <c:v>1876.000000</c:v>
                </c:pt>
                <c:pt idx="6">
                  <c:v>1877.000000</c:v>
                </c:pt>
                <c:pt idx="7">
                  <c:v>1878.000000</c:v>
                </c:pt>
                <c:pt idx="8">
                  <c:v>1879.000000</c:v>
                </c:pt>
                <c:pt idx="9">
                  <c:v>1880.000000</c:v>
                </c:pt>
                <c:pt idx="10">
                  <c:v>1881.000000</c:v>
                </c:pt>
                <c:pt idx="11">
                  <c:v>1882.000000</c:v>
                </c:pt>
                <c:pt idx="12">
                  <c:v>1883.000000</c:v>
                </c:pt>
                <c:pt idx="13">
                  <c:v>1884.000000</c:v>
                </c:pt>
                <c:pt idx="14">
                  <c:v>1885.000000</c:v>
                </c:pt>
                <c:pt idx="15">
                  <c:v>1886.000000</c:v>
                </c:pt>
                <c:pt idx="16">
                  <c:v>1887.000000</c:v>
                </c:pt>
                <c:pt idx="17">
                  <c:v>1888.000000</c:v>
                </c:pt>
                <c:pt idx="18">
                  <c:v>1889.000000</c:v>
                </c:pt>
                <c:pt idx="19">
                  <c:v>1890.000000</c:v>
                </c:pt>
                <c:pt idx="20">
                  <c:v>1891.000000</c:v>
                </c:pt>
                <c:pt idx="21">
                  <c:v>1892.000000</c:v>
                </c:pt>
                <c:pt idx="22">
                  <c:v>1893.000000</c:v>
                </c:pt>
                <c:pt idx="23">
                  <c:v>1894.000000</c:v>
                </c:pt>
                <c:pt idx="24">
                  <c:v>1895.000000</c:v>
                </c:pt>
                <c:pt idx="25">
                  <c:v>1896.000000</c:v>
                </c:pt>
                <c:pt idx="26">
                  <c:v>1897.000000</c:v>
                </c:pt>
                <c:pt idx="27">
                  <c:v>1898.000000</c:v>
                </c:pt>
                <c:pt idx="28">
                  <c:v>1899.000000</c:v>
                </c:pt>
                <c:pt idx="29">
                  <c:v>1900.000000</c:v>
                </c:pt>
                <c:pt idx="30">
                  <c:v>1901.000000</c:v>
                </c:pt>
                <c:pt idx="31">
                  <c:v>1902.000000</c:v>
                </c:pt>
                <c:pt idx="32">
                  <c:v>1903.000000</c:v>
                </c:pt>
                <c:pt idx="33">
                  <c:v>1904.000000</c:v>
                </c:pt>
                <c:pt idx="34">
                  <c:v>1905.000000</c:v>
                </c:pt>
                <c:pt idx="35">
                  <c:v>1906.000000</c:v>
                </c:pt>
                <c:pt idx="36">
                  <c:v>1907.000000</c:v>
                </c:pt>
                <c:pt idx="37">
                  <c:v>1908.000000</c:v>
                </c:pt>
                <c:pt idx="38">
                  <c:v>1909.000000</c:v>
                </c:pt>
                <c:pt idx="39">
                  <c:v>1910.000000</c:v>
                </c:pt>
                <c:pt idx="40">
                  <c:v>1911.000000</c:v>
                </c:pt>
                <c:pt idx="41">
                  <c:v>1912.000000</c:v>
                </c:pt>
                <c:pt idx="42">
                  <c:v>1913.000000</c:v>
                </c:pt>
                <c:pt idx="43">
                  <c:v>1914.000000</c:v>
                </c:pt>
                <c:pt idx="44">
                  <c:v>1915.000000</c:v>
                </c:pt>
                <c:pt idx="45">
                  <c:v>1916.000000</c:v>
                </c:pt>
                <c:pt idx="46">
                  <c:v>1917.000000</c:v>
                </c:pt>
                <c:pt idx="47">
                  <c:v>1918.000000</c:v>
                </c:pt>
                <c:pt idx="48">
                  <c:v>1919.000000</c:v>
                </c:pt>
                <c:pt idx="49">
                  <c:v>1920.000000</c:v>
                </c:pt>
                <c:pt idx="50">
                  <c:v>1921.000000</c:v>
                </c:pt>
                <c:pt idx="51">
                  <c:v>1922.000000</c:v>
                </c:pt>
                <c:pt idx="52">
                  <c:v>1923.000000</c:v>
                </c:pt>
                <c:pt idx="53">
                  <c:v>1924.000000</c:v>
                </c:pt>
                <c:pt idx="54">
                  <c:v>1925.000000</c:v>
                </c:pt>
                <c:pt idx="55">
                  <c:v>1926.000000</c:v>
                </c:pt>
                <c:pt idx="56">
                  <c:v>1927.000000</c:v>
                </c:pt>
                <c:pt idx="57">
                  <c:v>1928.000000</c:v>
                </c:pt>
                <c:pt idx="58">
                  <c:v>1929.000000</c:v>
                </c:pt>
                <c:pt idx="59">
                  <c:v>1930.000000</c:v>
                </c:pt>
                <c:pt idx="60">
                  <c:v>1931.000000</c:v>
                </c:pt>
                <c:pt idx="61">
                  <c:v>1932.000000</c:v>
                </c:pt>
                <c:pt idx="62">
                  <c:v>1933.000000</c:v>
                </c:pt>
                <c:pt idx="63">
                  <c:v>1934.000000</c:v>
                </c:pt>
                <c:pt idx="64">
                  <c:v>1935.000000</c:v>
                </c:pt>
                <c:pt idx="65">
                  <c:v>1936.000000</c:v>
                </c:pt>
                <c:pt idx="66">
                  <c:v>1937.000000</c:v>
                </c:pt>
                <c:pt idx="67">
                  <c:v>1938.000000</c:v>
                </c:pt>
                <c:pt idx="68">
                  <c:v>1939.000000</c:v>
                </c:pt>
                <c:pt idx="69">
                  <c:v>1940.000000</c:v>
                </c:pt>
                <c:pt idx="70">
                  <c:v>1941.000000</c:v>
                </c:pt>
                <c:pt idx="71">
                  <c:v>1942.000000</c:v>
                </c:pt>
                <c:pt idx="72">
                  <c:v>1943.000000</c:v>
                </c:pt>
                <c:pt idx="73">
                  <c:v>1944.000000</c:v>
                </c:pt>
                <c:pt idx="74">
                  <c:v>1945.000000</c:v>
                </c:pt>
                <c:pt idx="75">
                  <c:v>1946.000000</c:v>
                </c:pt>
                <c:pt idx="76">
                  <c:v>1947.000000</c:v>
                </c:pt>
                <c:pt idx="77">
                  <c:v>1948.000000</c:v>
                </c:pt>
                <c:pt idx="78">
                  <c:v>1949.000000</c:v>
                </c:pt>
                <c:pt idx="79">
                  <c:v>1950.000000</c:v>
                </c:pt>
                <c:pt idx="80">
                  <c:v>1951.000000</c:v>
                </c:pt>
                <c:pt idx="81">
                  <c:v>1952.000000</c:v>
                </c:pt>
                <c:pt idx="82">
                  <c:v>1953.000000</c:v>
                </c:pt>
                <c:pt idx="83">
                  <c:v>1954.000000</c:v>
                </c:pt>
                <c:pt idx="84">
                  <c:v>1955.000000</c:v>
                </c:pt>
                <c:pt idx="85">
                  <c:v>1956.000000</c:v>
                </c:pt>
                <c:pt idx="86">
                  <c:v>1957.000000</c:v>
                </c:pt>
                <c:pt idx="87">
                  <c:v>1958.000000</c:v>
                </c:pt>
                <c:pt idx="88">
                  <c:v>1959.000000</c:v>
                </c:pt>
                <c:pt idx="89">
                  <c:v>1960.000000</c:v>
                </c:pt>
                <c:pt idx="90">
                  <c:v>1961.000000</c:v>
                </c:pt>
                <c:pt idx="91">
                  <c:v>1962.000000</c:v>
                </c:pt>
                <c:pt idx="92">
                  <c:v>1963.000000</c:v>
                </c:pt>
                <c:pt idx="93">
                  <c:v>1964.000000</c:v>
                </c:pt>
                <c:pt idx="94">
                  <c:v>1965.000000</c:v>
                </c:pt>
                <c:pt idx="95">
                  <c:v>1966.000000</c:v>
                </c:pt>
                <c:pt idx="96">
                  <c:v>1967.000000</c:v>
                </c:pt>
                <c:pt idx="97">
                  <c:v>1968.000000</c:v>
                </c:pt>
                <c:pt idx="98">
                  <c:v>1969.000000</c:v>
                </c:pt>
                <c:pt idx="99">
                  <c:v>1970.000000</c:v>
                </c:pt>
                <c:pt idx="100">
                  <c:v>1971.000000</c:v>
                </c:pt>
                <c:pt idx="101">
                  <c:v>1972.000000</c:v>
                </c:pt>
                <c:pt idx="102">
                  <c:v>1973.000000</c:v>
                </c:pt>
                <c:pt idx="103">
                  <c:v>1974.000000</c:v>
                </c:pt>
                <c:pt idx="104">
                  <c:v>1975.000000</c:v>
                </c:pt>
                <c:pt idx="105">
                  <c:v>1976.000000</c:v>
                </c:pt>
                <c:pt idx="106">
                  <c:v>1977.000000</c:v>
                </c:pt>
                <c:pt idx="107">
                  <c:v>1978.000000</c:v>
                </c:pt>
                <c:pt idx="108">
                  <c:v>1979.000000</c:v>
                </c:pt>
                <c:pt idx="109">
                  <c:v>1980.000000</c:v>
                </c:pt>
                <c:pt idx="110">
                  <c:v>1981.000000</c:v>
                </c:pt>
                <c:pt idx="111">
                  <c:v>1982.000000</c:v>
                </c:pt>
                <c:pt idx="112">
                  <c:v>1983.000000</c:v>
                </c:pt>
                <c:pt idx="113">
                  <c:v>1984.000000</c:v>
                </c:pt>
                <c:pt idx="114">
                  <c:v>1985.000000</c:v>
                </c:pt>
                <c:pt idx="115">
                  <c:v>1986.000000</c:v>
                </c:pt>
                <c:pt idx="116">
                  <c:v>1987.000000</c:v>
                </c:pt>
                <c:pt idx="117">
                  <c:v>1988.000000</c:v>
                </c:pt>
                <c:pt idx="118">
                  <c:v>1989.000000</c:v>
                </c:pt>
                <c:pt idx="119">
                  <c:v>1990.000000</c:v>
                </c:pt>
                <c:pt idx="120">
                  <c:v>1991.000000</c:v>
                </c:pt>
                <c:pt idx="121">
                  <c:v>1992.000000</c:v>
                </c:pt>
                <c:pt idx="122">
                  <c:v>1993.000000</c:v>
                </c:pt>
                <c:pt idx="123">
                  <c:v>1994.000000</c:v>
                </c:pt>
                <c:pt idx="124">
                  <c:v>1995.000000</c:v>
                </c:pt>
                <c:pt idx="125">
                  <c:v>1996.000000</c:v>
                </c:pt>
                <c:pt idx="126">
                  <c:v>1997.000000</c:v>
                </c:pt>
                <c:pt idx="127">
                  <c:v>1998.000000</c:v>
                </c:pt>
                <c:pt idx="128">
                  <c:v>1999.000000</c:v>
                </c:pt>
                <c:pt idx="129">
                  <c:v>2000.000000</c:v>
                </c:pt>
                <c:pt idx="130">
                  <c:v>2001.000000</c:v>
                </c:pt>
                <c:pt idx="131">
                  <c:v>2002.000000</c:v>
                </c:pt>
                <c:pt idx="132">
                  <c:v>2003.000000</c:v>
                </c:pt>
                <c:pt idx="133">
                  <c:v>2004.000000</c:v>
                </c:pt>
                <c:pt idx="134">
                  <c:v>2005.000000</c:v>
                </c:pt>
                <c:pt idx="135">
                  <c:v>2006.000000</c:v>
                </c:pt>
                <c:pt idx="136">
                  <c:v>2007.000000</c:v>
                </c:pt>
                <c:pt idx="137">
                  <c:v>2008.000000</c:v>
                </c:pt>
                <c:pt idx="138">
                  <c:v>2009.000000</c:v>
                </c:pt>
              </c:numCache>
            </c:numRef>
          </c:xVal>
          <c:yVal>
            <c:numRef>
              <c:f>'Data'!$M$9:$M$147</c:f>
              <c:numCache>
                <c:ptCount val="139"/>
                <c:pt idx="0">
                  <c:v>63.650374</c:v>
                </c:pt>
                <c:pt idx="1">
                  <c:v>63.962044</c:v>
                </c:pt>
                <c:pt idx="2">
                  <c:v>64.040481</c:v>
                </c:pt>
                <c:pt idx="3">
                  <c:v>67.831712</c:v>
                </c:pt>
                <c:pt idx="4">
                  <c:v>72.630007</c:v>
                </c:pt>
                <c:pt idx="5">
                  <c:v>76.341964</c:v>
                </c:pt>
                <c:pt idx="6">
                  <c:v>75.786424</c:v>
                </c:pt>
                <c:pt idx="7">
                  <c:v>91.172431</c:v>
                </c:pt>
                <c:pt idx="8">
                  <c:v>104.057740</c:v>
                </c:pt>
                <c:pt idx="9">
                  <c:v>89.689093</c:v>
                </c:pt>
                <c:pt idx="10">
                  <c:v>96.065186</c:v>
                </c:pt>
                <c:pt idx="11">
                  <c:v>89.505718</c:v>
                </c:pt>
                <c:pt idx="12">
                  <c:v>91.224157</c:v>
                </c:pt>
                <c:pt idx="13">
                  <c:v>97.802602</c:v>
                </c:pt>
                <c:pt idx="14">
                  <c:v>108.442911</c:v>
                </c:pt>
                <c:pt idx="15">
                  <c:v>113.458491</c:v>
                </c:pt>
                <c:pt idx="16">
                  <c:v>115.762994</c:v>
                </c:pt>
                <c:pt idx="17">
                  <c:v>114.435366</c:v>
                </c:pt>
                <c:pt idx="18">
                  <c:v>122.718528</c:v>
                </c:pt>
                <c:pt idx="19">
                  <c:v>131.989847</c:v>
                </c:pt>
                <c:pt idx="20">
                  <c:v>133.839291</c:v>
                </c:pt>
                <c:pt idx="21">
                  <c:v>148.069832</c:v>
                </c:pt>
                <c:pt idx="22">
                  <c:v>141.389966</c:v>
                </c:pt>
                <c:pt idx="23">
                  <c:v>171.430385</c:v>
                </c:pt>
                <c:pt idx="24">
                  <c:v>183.130141</c:v>
                </c:pt>
                <c:pt idx="25">
                  <c:v>186.141395</c:v>
                </c:pt>
                <c:pt idx="26">
                  <c:v>202.524127</c:v>
                </c:pt>
                <c:pt idx="27">
                  <c:v>204.728632</c:v>
                </c:pt>
                <c:pt idx="28">
                  <c:v>209.588413</c:v>
                </c:pt>
                <c:pt idx="29">
                  <c:v>187.645937</c:v>
                </c:pt>
                <c:pt idx="30">
                  <c:v>198.395303</c:v>
                </c:pt>
                <c:pt idx="31">
                  <c:v>199.643225</c:v>
                </c:pt>
                <c:pt idx="32">
                  <c:v>189.573612</c:v>
                </c:pt>
                <c:pt idx="33">
                  <c:v>205.300681</c:v>
                </c:pt>
                <c:pt idx="34">
                  <c:v>208.298102</c:v>
                </c:pt>
                <c:pt idx="35">
                  <c:v>215.227785</c:v>
                </c:pt>
                <c:pt idx="36">
                  <c:v>214.531485</c:v>
                </c:pt>
                <c:pt idx="37">
                  <c:v>227.925219</c:v>
                </c:pt>
                <c:pt idx="38">
                  <c:v>230.178465</c:v>
                </c:pt>
                <c:pt idx="39">
                  <c:v>214.423160</c:v>
                </c:pt>
                <c:pt idx="40">
                  <c:v>236.476514</c:v>
                </c:pt>
                <c:pt idx="41">
                  <c:v>244.599973</c:v>
                </c:pt>
                <c:pt idx="42">
                  <c:v>235.811410</c:v>
                </c:pt>
                <c:pt idx="43">
                  <c:v>241.268428</c:v>
                </c:pt>
                <c:pt idx="44">
                  <c:v>248.867425</c:v>
                </c:pt>
                <c:pt idx="45">
                  <c:v>250.042566</c:v>
                </c:pt>
                <c:pt idx="46">
                  <c:v>229.300432</c:v>
                </c:pt>
                <c:pt idx="47">
                  <c:v>198.187341</c:v>
                </c:pt>
                <c:pt idx="48">
                  <c:v>178.307141</c:v>
                </c:pt>
                <c:pt idx="49">
                  <c:v>161.758081</c:v>
                </c:pt>
                <c:pt idx="50">
                  <c:v>175.495535</c:v>
                </c:pt>
                <c:pt idx="51">
                  <c:v>210.856549</c:v>
                </c:pt>
                <c:pt idx="52">
                  <c:v>222.237044</c:v>
                </c:pt>
                <c:pt idx="53">
                  <c:v>227.523692</c:v>
                </c:pt>
                <c:pt idx="54">
                  <c:v>238.146708</c:v>
                </c:pt>
                <c:pt idx="55">
                  <c:v>240.099359</c:v>
                </c:pt>
                <c:pt idx="56">
                  <c:v>255.213119</c:v>
                </c:pt>
                <c:pt idx="57">
                  <c:v>267.682085</c:v>
                </c:pt>
                <c:pt idx="58">
                  <c:v>281.020412</c:v>
                </c:pt>
                <c:pt idx="59">
                  <c:v>294.268203</c:v>
                </c:pt>
                <c:pt idx="60">
                  <c:v>324.380614</c:v>
                </c:pt>
                <c:pt idx="61">
                  <c:v>366.252554</c:v>
                </c:pt>
                <c:pt idx="62">
                  <c:v>423.025995</c:v>
                </c:pt>
                <c:pt idx="63">
                  <c:v>427.656707</c:v>
                </c:pt>
                <c:pt idx="64">
                  <c:v>427.799438</c:v>
                </c:pt>
                <c:pt idx="65">
                  <c:v>432.969923</c:v>
                </c:pt>
                <c:pt idx="66">
                  <c:v>431.384310</c:v>
                </c:pt>
                <c:pt idx="67">
                  <c:v>435.057097</c:v>
                </c:pt>
                <c:pt idx="68">
                  <c:v>452.823205</c:v>
                </c:pt>
                <c:pt idx="69">
                  <c:v>465.087945</c:v>
                </c:pt>
                <c:pt idx="70">
                  <c:v>467.508796</c:v>
                </c:pt>
                <c:pt idx="71">
                  <c:v>430.097867</c:v>
                </c:pt>
                <c:pt idx="72">
                  <c:v>410.635736</c:v>
                </c:pt>
                <c:pt idx="73">
                  <c:v>409.025815</c:v>
                </c:pt>
                <c:pt idx="74">
                  <c:v>409.825036</c:v>
                </c:pt>
                <c:pt idx="75">
                  <c:v>410.887177</c:v>
                </c:pt>
                <c:pt idx="76">
                  <c:v>359.338471</c:v>
                </c:pt>
                <c:pt idx="77">
                  <c:v>335.171518</c:v>
                </c:pt>
                <c:pt idx="78">
                  <c:v>338.945773</c:v>
                </c:pt>
                <c:pt idx="79">
                  <c:v>352.522260</c:v>
                </c:pt>
                <c:pt idx="80">
                  <c:v>330.884170</c:v>
                </c:pt>
                <c:pt idx="81">
                  <c:v>324.016217</c:v>
                </c:pt>
                <c:pt idx="82">
                  <c:v>329.938128</c:v>
                </c:pt>
                <c:pt idx="83">
                  <c:v>334.179048</c:v>
                </c:pt>
                <c:pt idx="84">
                  <c:v>341.342707</c:v>
                </c:pt>
                <c:pt idx="85">
                  <c:v>344.395607</c:v>
                </c:pt>
                <c:pt idx="86">
                  <c:v>343.163093</c:v>
                </c:pt>
                <c:pt idx="87">
                  <c:v>342.023483</c:v>
                </c:pt>
                <c:pt idx="88">
                  <c:v>344.318842</c:v>
                </c:pt>
                <c:pt idx="89">
                  <c:v>351.338132</c:v>
                </c:pt>
                <c:pt idx="90">
                  <c:v>357.586331</c:v>
                </c:pt>
                <c:pt idx="91">
                  <c:v>362.717919</c:v>
                </c:pt>
                <c:pt idx="92">
                  <c:v>366.818387</c:v>
                </c:pt>
                <c:pt idx="93">
                  <c:v>369.536538</c:v>
                </c:pt>
                <c:pt idx="94">
                  <c:v>375.302494</c:v>
                </c:pt>
                <c:pt idx="95">
                  <c:v>378.001414</c:v>
                </c:pt>
                <c:pt idx="96">
                  <c:v>378.398439</c:v>
                </c:pt>
                <c:pt idx="97">
                  <c:v>378.925158</c:v>
                </c:pt>
                <c:pt idx="98">
                  <c:v>378.834904</c:v>
                </c:pt>
                <c:pt idx="99">
                  <c:v>379.613741</c:v>
                </c:pt>
                <c:pt idx="100">
                  <c:v>388.322928</c:v>
                </c:pt>
                <c:pt idx="101">
                  <c:v>393.860011</c:v>
                </c:pt>
                <c:pt idx="102">
                  <c:v>394.713258</c:v>
                </c:pt>
                <c:pt idx="103">
                  <c:v>387.364437</c:v>
                </c:pt>
                <c:pt idx="104">
                  <c:v>383.033968</c:v>
                </c:pt>
                <c:pt idx="105">
                  <c:v>383.600734</c:v>
                </c:pt>
                <c:pt idx="106">
                  <c:v>383.353803</c:v>
                </c:pt>
                <c:pt idx="107">
                  <c:v>374.755269</c:v>
                </c:pt>
                <c:pt idx="108">
                  <c:v>366.374845</c:v>
                </c:pt>
                <c:pt idx="109">
                  <c:v>353.670849</c:v>
                </c:pt>
                <c:pt idx="110">
                  <c:v>348.842569</c:v>
                </c:pt>
                <c:pt idx="111">
                  <c:v>373.677639</c:v>
                </c:pt>
                <c:pt idx="112">
                  <c:v>408.651618</c:v>
                </c:pt>
                <c:pt idx="113">
                  <c:v>427.095454</c:v>
                </c:pt>
                <c:pt idx="114">
                  <c:v>456.355277</c:v>
                </c:pt>
                <c:pt idx="115">
                  <c:v>475.401735</c:v>
                </c:pt>
                <c:pt idx="116">
                  <c:v>502.132234</c:v>
                </c:pt>
                <c:pt idx="117">
                  <c:v>513.316842</c:v>
                </c:pt>
                <c:pt idx="118">
                  <c:v>527.627368</c:v>
                </c:pt>
                <c:pt idx="119">
                  <c:v>546.695740</c:v>
                </c:pt>
                <c:pt idx="120">
                  <c:v>559.880247</c:v>
                </c:pt>
                <c:pt idx="121">
                  <c:v>582.802946</c:v>
                </c:pt>
                <c:pt idx="122">
                  <c:v>587.781797</c:v>
                </c:pt>
                <c:pt idx="123">
                  <c:v>594.671662</c:v>
                </c:pt>
                <c:pt idx="124">
                  <c:v>605.012496</c:v>
                </c:pt>
                <c:pt idx="125">
                  <c:v>627.882346</c:v>
                </c:pt>
                <c:pt idx="126">
                  <c:v>644.920197</c:v>
                </c:pt>
                <c:pt idx="127">
                  <c:v>672.363063</c:v>
                </c:pt>
                <c:pt idx="128">
                  <c:v>700.020211</c:v>
                </c:pt>
                <c:pt idx="129">
                  <c:v>719.995786</c:v>
                </c:pt>
                <c:pt idx="130">
                  <c:v>744.588098</c:v>
                </c:pt>
                <c:pt idx="131">
                  <c:v>776.673269</c:v>
                </c:pt>
                <c:pt idx="132">
                  <c:v>779.604021</c:v>
                </c:pt>
                <c:pt idx="133">
                  <c:v>781.302140</c:v>
                </c:pt>
                <c:pt idx="134">
                  <c:v>775.801485</c:v>
                </c:pt>
                <c:pt idx="135">
                  <c:v>774.415100</c:v>
                </c:pt>
                <c:pt idx="136">
                  <c:v>798.242911</c:v>
                </c:pt>
                <c:pt idx="137">
                  <c:v>804.694471</c:v>
                </c:pt>
                <c:pt idx="138">
                  <c:v>829.803694</c:v>
                </c:pt>
              </c:numCache>
            </c:numRef>
          </c:yVal>
          <c:smooth val="0"/>
        </c:ser>
        <c:ser>
          <c:idx val="3"/>
          <c:order val="3"/>
          <c:tx>
            <c:v>P* C</c:v>
          </c:tx>
          <c:spPr>
            <a:noFill/>
            <a:ln w="3175" cap="flat">
              <a:solidFill>
                <a:srgbClr val="00B050"/>
              </a:solidFill>
              <a:prstDash val="sysDash"/>
              <a:round/>
            </a:ln>
            <a:effectLst/>
          </c:spPr>
          <c:marker>
            <c:symbol val="none"/>
            <c:size val="2"/>
            <c:spPr>
              <a:noFill/>
              <a:ln w="3175" cap="flat">
                <a:solidFill>
                  <a:srgbClr val="00B050"/>
                </a:solidFill>
                <a:prstDash val="sysDash"/>
                <a:round/>
              </a:ln>
              <a:effectLst/>
            </c:spPr>
          </c:marker>
          <c:dLbls>
            <c:numFmt formatCode="General" sourceLinked="1"/>
            <c:txPr>
              <a:bodyPr/>
              <a:lstStyle/>
              <a:p>
                <a:pPr>
                  <a:defRPr b="0" i="0" strike="noStrike" sz="1000" u="none">
                    <a:solidFill>
                      <a:srgbClr val="000000"/>
                    </a:solidFill>
                    <a:latin typeface="Arial"/>
                  </a:defRPr>
                </a:pPr>
              </a:p>
            </c:txPr>
            <c:dLblPos val="t"/>
            <c:showLegendKey val="0"/>
            <c:showVal val="0"/>
            <c:showCatName val="0"/>
            <c:showSerName val="0"/>
            <c:showPercent val="0"/>
            <c:showBubbleSize val="0"/>
            <c:showLeaderLines val="0"/>
          </c:dLbls>
          <c:xVal>
            <c:numRef>
              <c:f>'Data'!$J$9:$J$147</c:f>
              <c:numCache>
                <c:ptCount val="139"/>
                <c:pt idx="0">
                  <c:v>1871.000000</c:v>
                </c:pt>
                <c:pt idx="1">
                  <c:v>1872.000000</c:v>
                </c:pt>
                <c:pt idx="2">
                  <c:v>1873.000000</c:v>
                </c:pt>
                <c:pt idx="3">
                  <c:v>1874.000000</c:v>
                </c:pt>
                <c:pt idx="4">
                  <c:v>1875.000000</c:v>
                </c:pt>
                <c:pt idx="5">
                  <c:v>1876.000000</c:v>
                </c:pt>
                <c:pt idx="6">
                  <c:v>1877.000000</c:v>
                </c:pt>
                <c:pt idx="7">
                  <c:v>1878.000000</c:v>
                </c:pt>
                <c:pt idx="8">
                  <c:v>1879.000000</c:v>
                </c:pt>
                <c:pt idx="9">
                  <c:v>1880.000000</c:v>
                </c:pt>
                <c:pt idx="10">
                  <c:v>1881.000000</c:v>
                </c:pt>
                <c:pt idx="11">
                  <c:v>1882.000000</c:v>
                </c:pt>
                <c:pt idx="12">
                  <c:v>1883.000000</c:v>
                </c:pt>
                <c:pt idx="13">
                  <c:v>1884.000000</c:v>
                </c:pt>
                <c:pt idx="14">
                  <c:v>1885.000000</c:v>
                </c:pt>
                <c:pt idx="15">
                  <c:v>1886.000000</c:v>
                </c:pt>
                <c:pt idx="16">
                  <c:v>1887.000000</c:v>
                </c:pt>
                <c:pt idx="17">
                  <c:v>1888.000000</c:v>
                </c:pt>
                <c:pt idx="18">
                  <c:v>1889.000000</c:v>
                </c:pt>
                <c:pt idx="19">
                  <c:v>1890.000000</c:v>
                </c:pt>
                <c:pt idx="20">
                  <c:v>1891.000000</c:v>
                </c:pt>
                <c:pt idx="21">
                  <c:v>1892.000000</c:v>
                </c:pt>
                <c:pt idx="22">
                  <c:v>1893.000000</c:v>
                </c:pt>
                <c:pt idx="23">
                  <c:v>1894.000000</c:v>
                </c:pt>
                <c:pt idx="24">
                  <c:v>1895.000000</c:v>
                </c:pt>
                <c:pt idx="25">
                  <c:v>1896.000000</c:v>
                </c:pt>
                <c:pt idx="26">
                  <c:v>1897.000000</c:v>
                </c:pt>
                <c:pt idx="27">
                  <c:v>1898.000000</c:v>
                </c:pt>
                <c:pt idx="28">
                  <c:v>1899.000000</c:v>
                </c:pt>
                <c:pt idx="29">
                  <c:v>1900.000000</c:v>
                </c:pt>
                <c:pt idx="30">
                  <c:v>1901.000000</c:v>
                </c:pt>
                <c:pt idx="31">
                  <c:v>1902.000000</c:v>
                </c:pt>
                <c:pt idx="32">
                  <c:v>1903.000000</c:v>
                </c:pt>
                <c:pt idx="33">
                  <c:v>1904.000000</c:v>
                </c:pt>
                <c:pt idx="34">
                  <c:v>1905.000000</c:v>
                </c:pt>
                <c:pt idx="35">
                  <c:v>1906.000000</c:v>
                </c:pt>
                <c:pt idx="36">
                  <c:v>1907.000000</c:v>
                </c:pt>
                <c:pt idx="37">
                  <c:v>1908.000000</c:v>
                </c:pt>
                <c:pt idx="38">
                  <c:v>1909.000000</c:v>
                </c:pt>
                <c:pt idx="39">
                  <c:v>1910.000000</c:v>
                </c:pt>
                <c:pt idx="40">
                  <c:v>1911.000000</c:v>
                </c:pt>
                <c:pt idx="41">
                  <c:v>1912.000000</c:v>
                </c:pt>
                <c:pt idx="42">
                  <c:v>1913.000000</c:v>
                </c:pt>
                <c:pt idx="43">
                  <c:v>1914.000000</c:v>
                </c:pt>
                <c:pt idx="44">
                  <c:v>1915.000000</c:v>
                </c:pt>
                <c:pt idx="45">
                  <c:v>1916.000000</c:v>
                </c:pt>
                <c:pt idx="46">
                  <c:v>1917.000000</c:v>
                </c:pt>
                <c:pt idx="47">
                  <c:v>1918.000000</c:v>
                </c:pt>
                <c:pt idx="48">
                  <c:v>1919.000000</c:v>
                </c:pt>
                <c:pt idx="49">
                  <c:v>1920.000000</c:v>
                </c:pt>
                <c:pt idx="50">
                  <c:v>1921.000000</c:v>
                </c:pt>
                <c:pt idx="51">
                  <c:v>1922.000000</c:v>
                </c:pt>
                <c:pt idx="52">
                  <c:v>1923.000000</c:v>
                </c:pt>
                <c:pt idx="53">
                  <c:v>1924.000000</c:v>
                </c:pt>
                <c:pt idx="54">
                  <c:v>1925.000000</c:v>
                </c:pt>
                <c:pt idx="55">
                  <c:v>1926.000000</c:v>
                </c:pt>
                <c:pt idx="56">
                  <c:v>1927.000000</c:v>
                </c:pt>
                <c:pt idx="57">
                  <c:v>1928.000000</c:v>
                </c:pt>
                <c:pt idx="58">
                  <c:v>1929.000000</c:v>
                </c:pt>
                <c:pt idx="59">
                  <c:v>1930.000000</c:v>
                </c:pt>
                <c:pt idx="60">
                  <c:v>1931.000000</c:v>
                </c:pt>
                <c:pt idx="61">
                  <c:v>1932.000000</c:v>
                </c:pt>
                <c:pt idx="62">
                  <c:v>1933.000000</c:v>
                </c:pt>
                <c:pt idx="63">
                  <c:v>1934.000000</c:v>
                </c:pt>
                <c:pt idx="64">
                  <c:v>1935.000000</c:v>
                </c:pt>
                <c:pt idx="65">
                  <c:v>1936.000000</c:v>
                </c:pt>
                <c:pt idx="66">
                  <c:v>1937.000000</c:v>
                </c:pt>
                <c:pt idx="67">
                  <c:v>1938.000000</c:v>
                </c:pt>
                <c:pt idx="68">
                  <c:v>1939.000000</c:v>
                </c:pt>
                <c:pt idx="69">
                  <c:v>1940.000000</c:v>
                </c:pt>
                <c:pt idx="70">
                  <c:v>1941.000000</c:v>
                </c:pt>
                <c:pt idx="71">
                  <c:v>1942.000000</c:v>
                </c:pt>
                <c:pt idx="72">
                  <c:v>1943.000000</c:v>
                </c:pt>
                <c:pt idx="73">
                  <c:v>1944.000000</c:v>
                </c:pt>
                <c:pt idx="74">
                  <c:v>1945.000000</c:v>
                </c:pt>
                <c:pt idx="75">
                  <c:v>1946.000000</c:v>
                </c:pt>
                <c:pt idx="76">
                  <c:v>1947.000000</c:v>
                </c:pt>
                <c:pt idx="77">
                  <c:v>1948.000000</c:v>
                </c:pt>
                <c:pt idx="78">
                  <c:v>1949.000000</c:v>
                </c:pt>
                <c:pt idx="79">
                  <c:v>1950.000000</c:v>
                </c:pt>
                <c:pt idx="80">
                  <c:v>1951.000000</c:v>
                </c:pt>
                <c:pt idx="81">
                  <c:v>1952.000000</c:v>
                </c:pt>
                <c:pt idx="82">
                  <c:v>1953.000000</c:v>
                </c:pt>
                <c:pt idx="83">
                  <c:v>1954.000000</c:v>
                </c:pt>
                <c:pt idx="84">
                  <c:v>1955.000000</c:v>
                </c:pt>
                <c:pt idx="85">
                  <c:v>1956.000000</c:v>
                </c:pt>
                <c:pt idx="86">
                  <c:v>1957.000000</c:v>
                </c:pt>
                <c:pt idx="87">
                  <c:v>1958.000000</c:v>
                </c:pt>
                <c:pt idx="88">
                  <c:v>1959.000000</c:v>
                </c:pt>
                <c:pt idx="89">
                  <c:v>1960.000000</c:v>
                </c:pt>
                <c:pt idx="90">
                  <c:v>1961.000000</c:v>
                </c:pt>
                <c:pt idx="91">
                  <c:v>1962.000000</c:v>
                </c:pt>
                <c:pt idx="92">
                  <c:v>1963.000000</c:v>
                </c:pt>
                <c:pt idx="93">
                  <c:v>1964.000000</c:v>
                </c:pt>
                <c:pt idx="94">
                  <c:v>1965.000000</c:v>
                </c:pt>
                <c:pt idx="95">
                  <c:v>1966.000000</c:v>
                </c:pt>
                <c:pt idx="96">
                  <c:v>1967.000000</c:v>
                </c:pt>
                <c:pt idx="97">
                  <c:v>1968.000000</c:v>
                </c:pt>
                <c:pt idx="98">
                  <c:v>1969.000000</c:v>
                </c:pt>
                <c:pt idx="99">
                  <c:v>1970.000000</c:v>
                </c:pt>
                <c:pt idx="100">
                  <c:v>1971.000000</c:v>
                </c:pt>
                <c:pt idx="101">
                  <c:v>1972.000000</c:v>
                </c:pt>
                <c:pt idx="102">
                  <c:v>1973.000000</c:v>
                </c:pt>
                <c:pt idx="103">
                  <c:v>1974.000000</c:v>
                </c:pt>
                <c:pt idx="104">
                  <c:v>1975.000000</c:v>
                </c:pt>
                <c:pt idx="105">
                  <c:v>1976.000000</c:v>
                </c:pt>
                <c:pt idx="106">
                  <c:v>1977.000000</c:v>
                </c:pt>
                <c:pt idx="107">
                  <c:v>1978.000000</c:v>
                </c:pt>
                <c:pt idx="108">
                  <c:v>1979.000000</c:v>
                </c:pt>
                <c:pt idx="109">
                  <c:v>1980.000000</c:v>
                </c:pt>
                <c:pt idx="110">
                  <c:v>1981.000000</c:v>
                </c:pt>
                <c:pt idx="111">
                  <c:v>1982.000000</c:v>
                </c:pt>
                <c:pt idx="112">
                  <c:v>1983.000000</c:v>
                </c:pt>
                <c:pt idx="113">
                  <c:v>1984.000000</c:v>
                </c:pt>
                <c:pt idx="114">
                  <c:v>1985.000000</c:v>
                </c:pt>
                <c:pt idx="115">
                  <c:v>1986.000000</c:v>
                </c:pt>
                <c:pt idx="116">
                  <c:v>1987.000000</c:v>
                </c:pt>
                <c:pt idx="117">
                  <c:v>1988.000000</c:v>
                </c:pt>
                <c:pt idx="118">
                  <c:v>1989.000000</c:v>
                </c:pt>
                <c:pt idx="119">
                  <c:v>1990.000000</c:v>
                </c:pt>
                <c:pt idx="120">
                  <c:v>1991.000000</c:v>
                </c:pt>
                <c:pt idx="121">
                  <c:v>1992.000000</c:v>
                </c:pt>
                <c:pt idx="122">
                  <c:v>1993.000000</c:v>
                </c:pt>
                <c:pt idx="123">
                  <c:v>1994.000000</c:v>
                </c:pt>
                <c:pt idx="124">
                  <c:v>1995.000000</c:v>
                </c:pt>
                <c:pt idx="125">
                  <c:v>1996.000000</c:v>
                </c:pt>
                <c:pt idx="126">
                  <c:v>1997.000000</c:v>
                </c:pt>
                <c:pt idx="127">
                  <c:v>1998.000000</c:v>
                </c:pt>
                <c:pt idx="128">
                  <c:v>1999.000000</c:v>
                </c:pt>
                <c:pt idx="129">
                  <c:v>2000.000000</c:v>
                </c:pt>
                <c:pt idx="130">
                  <c:v>2001.000000</c:v>
                </c:pt>
                <c:pt idx="131">
                  <c:v>2002.000000</c:v>
                </c:pt>
                <c:pt idx="132">
                  <c:v>2003.000000</c:v>
                </c:pt>
                <c:pt idx="133">
                  <c:v>2004.000000</c:v>
                </c:pt>
                <c:pt idx="134">
                  <c:v>2005.000000</c:v>
                </c:pt>
                <c:pt idx="135">
                  <c:v>2006.000000</c:v>
                </c:pt>
                <c:pt idx="136">
                  <c:v>2007.000000</c:v>
                </c:pt>
                <c:pt idx="137">
                  <c:v>2008.000000</c:v>
                </c:pt>
                <c:pt idx="138">
                  <c:v>2009.000000</c:v>
                </c:pt>
              </c:numCache>
            </c:numRef>
          </c:xVal>
          <c:yVal>
            <c:numRef>
              <c:f>'Data'!$N$9:$N$147</c:f>
              <c:numCache>
                <c:ptCount val="121"/>
                <c:pt idx="18">
                  <c:v>108.810686</c:v>
                </c:pt>
                <c:pt idx="19">
                  <c:v>93.378353</c:v>
                </c:pt>
                <c:pt idx="20">
                  <c:v>106.098020</c:v>
                </c:pt>
                <c:pt idx="21">
                  <c:v>110.869228</c:v>
                </c:pt>
                <c:pt idx="22">
                  <c:v>97.512874</c:v>
                </c:pt>
                <c:pt idx="23">
                  <c:v>71.684178</c:v>
                </c:pt>
                <c:pt idx="24">
                  <c:v>99.133685</c:v>
                </c:pt>
                <c:pt idx="25">
                  <c:v>84.419168</c:v>
                </c:pt>
                <c:pt idx="26">
                  <c:v>99.894303</c:v>
                </c:pt>
                <c:pt idx="27">
                  <c:v>93.158082</c:v>
                </c:pt>
                <c:pt idx="28">
                  <c:v>128.934755</c:v>
                </c:pt>
                <c:pt idx="29">
                  <c:v>118.639381</c:v>
                </c:pt>
                <c:pt idx="30">
                  <c:v>165.587793</c:v>
                </c:pt>
                <c:pt idx="31">
                  <c:v>148.684975</c:v>
                </c:pt>
                <c:pt idx="32">
                  <c:v>165.525269</c:v>
                </c:pt>
                <c:pt idx="33">
                  <c:v>151.930138</c:v>
                </c:pt>
                <c:pt idx="34">
                  <c:v>166.872840</c:v>
                </c:pt>
                <c:pt idx="35">
                  <c:v>225.953821</c:v>
                </c:pt>
                <c:pt idx="36">
                  <c:v>216.149483</c:v>
                </c:pt>
                <c:pt idx="37">
                  <c:v>142.425937</c:v>
                </c:pt>
                <c:pt idx="38">
                  <c:v>189.016422</c:v>
                </c:pt>
                <c:pt idx="39">
                  <c:v>176.824026</c:v>
                </c:pt>
                <c:pt idx="40">
                  <c:v>188.865802</c:v>
                </c:pt>
                <c:pt idx="41">
                  <c:v>184.831668</c:v>
                </c:pt>
                <c:pt idx="42">
                  <c:v>183.258030</c:v>
                </c:pt>
                <c:pt idx="43">
                  <c:v>150.416068</c:v>
                </c:pt>
                <c:pt idx="44">
                  <c:v>122.812690</c:v>
                </c:pt>
                <c:pt idx="45">
                  <c:v>154.507160</c:v>
                </c:pt>
                <c:pt idx="46">
                  <c:v>123.542782</c:v>
                </c:pt>
                <c:pt idx="47">
                  <c:v>110.231878</c:v>
                </c:pt>
                <c:pt idx="48">
                  <c:v>116.638436</c:v>
                </c:pt>
                <c:pt idx="49">
                  <c:v>124.525735</c:v>
                </c:pt>
                <c:pt idx="50">
                  <c:v>141.941618</c:v>
                </c:pt>
                <c:pt idx="51">
                  <c:v>148.959158</c:v>
                </c:pt>
                <c:pt idx="52">
                  <c:v>189.929187</c:v>
                </c:pt>
                <c:pt idx="53">
                  <c:v>227.121149</c:v>
                </c:pt>
                <c:pt idx="54">
                  <c:v>182.685632</c:v>
                </c:pt>
                <c:pt idx="55">
                  <c:v>229.395365</c:v>
                </c:pt>
                <c:pt idx="56">
                  <c:v>228.138305</c:v>
                </c:pt>
                <c:pt idx="57">
                  <c:v>227.272475</c:v>
                </c:pt>
                <c:pt idx="58">
                  <c:v>257.996863</c:v>
                </c:pt>
                <c:pt idx="59">
                  <c:v>185.419149</c:v>
                </c:pt>
                <c:pt idx="60">
                  <c:v>144.488512</c:v>
                </c:pt>
                <c:pt idx="61">
                  <c:v>83.905650</c:v>
                </c:pt>
                <c:pt idx="62">
                  <c:v>66.136887</c:v>
                </c:pt>
                <c:pt idx="63">
                  <c:v>77.055447</c:v>
                </c:pt>
                <c:pt idx="64">
                  <c:v>87.521316</c:v>
                </c:pt>
                <c:pt idx="65">
                  <c:v>117.586920</c:v>
                </c:pt>
                <c:pt idx="66">
                  <c:v>120.924860</c:v>
                </c:pt>
                <c:pt idx="67">
                  <c:v>96.862646</c:v>
                </c:pt>
                <c:pt idx="68">
                  <c:v>108.045680</c:v>
                </c:pt>
                <c:pt idx="69">
                  <c:v>117.751854</c:v>
                </c:pt>
                <c:pt idx="70">
                  <c:v>138.361754</c:v>
                </c:pt>
                <c:pt idx="71">
                  <c:v>110.387845</c:v>
                </c:pt>
                <c:pt idx="72">
                  <c:v>108.882303</c:v>
                </c:pt>
                <c:pt idx="73">
                  <c:v>108.310286</c:v>
                </c:pt>
                <c:pt idx="74">
                  <c:v>123.479107</c:v>
                </c:pt>
                <c:pt idx="75">
                  <c:v>179.414145</c:v>
                </c:pt>
                <c:pt idx="76">
                  <c:v>171.157009</c:v>
                </c:pt>
                <c:pt idx="77">
                  <c:v>166.225059</c:v>
                </c:pt>
                <c:pt idx="78">
                  <c:v>164.006855</c:v>
                </c:pt>
                <c:pt idx="79">
                  <c:v>185.486575</c:v>
                </c:pt>
                <c:pt idx="80">
                  <c:v>171.285267</c:v>
                </c:pt>
                <c:pt idx="81">
                  <c:v>168.913074</c:v>
                </c:pt>
                <c:pt idx="82">
                  <c:v>178.189179</c:v>
                </c:pt>
                <c:pt idx="83">
                  <c:v>167.625494</c:v>
                </c:pt>
                <c:pt idx="84">
                  <c:v>193.693621</c:v>
                </c:pt>
                <c:pt idx="85">
                  <c:v>188.127870</c:v>
                </c:pt>
                <c:pt idx="86">
                  <c:v>178.519487</c:v>
                </c:pt>
                <c:pt idx="87">
                  <c:v>158.003820</c:v>
                </c:pt>
                <c:pt idx="88">
                  <c:v>169.580095</c:v>
                </c:pt>
                <c:pt idx="89">
                  <c:v>159.922205</c:v>
                </c:pt>
                <c:pt idx="90">
                  <c:v>147.471117</c:v>
                </c:pt>
                <c:pt idx="91">
                  <c:v>152.744205</c:v>
                </c:pt>
                <c:pt idx="92">
                  <c:v>153.344423</c:v>
                </c:pt>
                <c:pt idx="93">
                  <c:v>166.162165</c:v>
                </c:pt>
                <c:pt idx="94">
                  <c:v>183.492972</c:v>
                </c:pt>
                <c:pt idx="95">
                  <c:v>198.890367</c:v>
                </c:pt>
                <c:pt idx="96">
                  <c:v>194.049145</c:v>
                </c:pt>
                <c:pt idx="97">
                  <c:v>213.404241</c:v>
                </c:pt>
                <c:pt idx="98">
                  <c:v>217.520344</c:v>
                </c:pt>
                <c:pt idx="99">
                  <c:v>208.365261</c:v>
                </c:pt>
                <c:pt idx="100">
                  <c:v>211.979076</c:v>
                </c:pt>
                <c:pt idx="101">
                  <c:v>240.391583</c:v>
                </c:pt>
                <c:pt idx="102">
                  <c:v>263.197942</c:v>
                </c:pt>
                <c:pt idx="103">
                  <c:v>229.373511</c:v>
                </c:pt>
                <c:pt idx="104">
                  <c:v>225.733959</c:v>
                </c:pt>
                <c:pt idx="105">
                  <c:v>253.885159</c:v>
                </c:pt>
                <c:pt idx="106">
                  <c:v>271.987929</c:v>
                </c:pt>
                <c:pt idx="107">
                  <c:v>292.436464</c:v>
                </c:pt>
                <c:pt idx="108">
                  <c:v>290.908172</c:v>
                </c:pt>
                <c:pt idx="109">
                  <c:v>257.963092</c:v>
                </c:pt>
                <c:pt idx="110">
                  <c:v>246.017876</c:v>
                </c:pt>
                <c:pt idx="111">
                  <c:v>234.196200</c:v>
                </c:pt>
                <c:pt idx="112">
                  <c:v>265.909932</c:v>
                </c:pt>
                <c:pt idx="113">
                  <c:v>299.735313</c:v>
                </c:pt>
                <c:pt idx="114">
                  <c:v>337.778041</c:v>
                </c:pt>
                <c:pt idx="115">
                  <c:v>365.273993</c:v>
                </c:pt>
                <c:pt idx="116">
                  <c:v>384.683706</c:v>
                </c:pt>
                <c:pt idx="117">
                  <c:v>417.304458</c:v>
                </c:pt>
                <c:pt idx="118">
                  <c:v>430.528339</c:v>
                </c:pt>
                <c:pt idx="119">
                  <c:v>426.200400</c:v>
                </c:pt>
                <c:pt idx="120">
                  <c:v>386.209451</c:v>
                </c:pt>
                <c:pt idx="121">
                  <c:v>396.229061</c:v>
                </c:pt>
                <c:pt idx="122">
                  <c:v>409.035979</c:v>
                </c:pt>
                <c:pt idx="123">
                  <c:v>431.561313</c:v>
                </c:pt>
                <c:pt idx="124">
                  <c:v>437.725918</c:v>
                </c:pt>
                <c:pt idx="125">
                  <c:v>458.676229</c:v>
                </c:pt>
                <c:pt idx="126">
                  <c:v>483.908019</c:v>
                </c:pt>
                <c:pt idx="127">
                  <c:v>544.586679</c:v>
                </c:pt>
                <c:pt idx="128">
                  <c:v>621.012867</c:v>
                </c:pt>
                <c:pt idx="129">
                  <c:v>701.591100</c:v>
                </c:pt>
                <c:pt idx="130">
                  <c:v>728.184168</c:v>
                </c:pt>
                <c:pt idx="131">
                  <c:v>757.834742</c:v>
                </c:pt>
                <c:pt idx="132">
                  <c:v>795.697332</c:v>
                </c:pt>
                <c:pt idx="133">
                  <c:v>857.813260</c:v>
                </c:pt>
                <c:pt idx="134">
                  <c:v>920.322300</c:v>
                </c:pt>
                <c:pt idx="135">
                  <c:v>967.544544</c:v>
                </c:pt>
                <c:pt idx="136">
                  <c:v>1004.985148</c:v>
                </c:pt>
                <c:pt idx="137">
                  <c:v>928.862556</c:v>
                </c:pt>
                <c:pt idx="138">
                  <c:v>829.803694</c:v>
                </c:pt>
              </c:numCache>
            </c:numRef>
          </c:yVal>
          <c:smooth val="0"/>
        </c:ser>
        <c:axId val="2094734552"/>
        <c:axId val="2094734553"/>
      </c:scatterChart>
      <c:valAx>
        <c:axId val="2094734552"/>
        <c:scaling>
          <c:orientation val="minMax"/>
        </c:scaling>
        <c:delete val="0"/>
        <c:axPos val="b"/>
        <c:title>
          <c:tx>
            <c:rich>
              <a:bodyPr rot="0"/>
              <a:lstStyle/>
              <a:p>
                <a:pPr>
                  <a:defRPr b="1" i="0" strike="noStrike" sz="1000" u="none">
                    <a:solidFill>
                      <a:srgbClr val="000000"/>
                    </a:solidFill>
                    <a:latin typeface="Arial"/>
                  </a:defRPr>
                </a:pPr>
                <a:r>
                  <a:rPr b="1" i="0" strike="noStrike" sz="1000" u="none">
                    <a:solidFill>
                      <a:srgbClr val="000000"/>
                    </a:solidFill>
                    <a:latin typeface="Arial"/>
                  </a:rPr>
                  <a:t>Year</a:t>
                </a:r>
              </a:p>
            </c:rich>
          </c:tx>
          <c:layout/>
          <c:overlay val="1"/>
        </c:title>
        <c:numFmt formatCode="General" sourceLinked="1"/>
        <c:majorTickMark val="out"/>
        <c:minorTickMark val="none"/>
        <c:tickLblPos val="nextTo"/>
        <c:spPr>
          <a:ln w="12700" cap="flat">
            <a:solidFill>
              <a:srgbClr val="808080"/>
            </a:solidFill>
            <a:prstDash val="solid"/>
            <a:round/>
          </a:ln>
        </c:spPr>
        <c:txPr>
          <a:bodyPr rot="0"/>
          <a:lstStyle/>
          <a:p>
            <a:pPr>
              <a:defRPr b="0" i="0" strike="noStrike" sz="1000" u="none">
                <a:solidFill>
                  <a:srgbClr val="000000"/>
                </a:solidFill>
                <a:latin typeface="Arial"/>
              </a:defRPr>
            </a:pPr>
          </a:p>
        </c:txPr>
        <c:crossAx val="2094734553"/>
        <c:crosses val="autoZero"/>
        <c:crossBetween val="between"/>
        <c:majorUnit val="75"/>
        <c:minorUnit val="37.5"/>
      </c:valAx>
      <c:valAx>
        <c:axId val="2094734553"/>
        <c:scaling>
          <c:logBase val="10"/>
          <c:orientation val="minMax"/>
          <c:max val="10000"/>
          <c:min val="10"/>
        </c:scaling>
        <c:delete val="0"/>
        <c:axPos val="l"/>
        <c:title>
          <c:tx>
            <c:rich>
              <a:bodyPr rot="-5400000"/>
              <a:lstStyle/>
              <a:p>
                <a:pPr>
                  <a:defRPr b="1" i="0" strike="noStrike" sz="1000" u="none">
                    <a:solidFill>
                      <a:srgbClr val="000000"/>
                    </a:solidFill>
                    <a:latin typeface="Arial"/>
                  </a:defRPr>
                </a:pPr>
                <a:r>
                  <a:rPr b="1" i="0" strike="noStrike" sz="1000" u="none">
                    <a:solidFill>
                      <a:srgbClr val="000000"/>
                    </a:solidFill>
                    <a:latin typeface="Arial"/>
                  </a:rPr>
                  <a:t>Price</a:t>
                </a:r>
              </a:p>
            </c:rich>
          </c:tx>
          <c:layout/>
          <c:overlay val="1"/>
        </c:title>
        <c:numFmt formatCode="General" sourceLinked="1"/>
        <c:majorTickMark val="out"/>
        <c:minorTickMark val="none"/>
        <c:tickLblPos val="nextTo"/>
        <c:spPr>
          <a:ln w="12700" cap="flat">
            <a:solidFill>
              <a:srgbClr val="808080"/>
            </a:solidFill>
            <a:prstDash val="solid"/>
            <a:round/>
          </a:ln>
        </c:spPr>
        <c:txPr>
          <a:bodyPr rot="0"/>
          <a:lstStyle/>
          <a:p>
            <a:pPr>
              <a:defRPr b="0" i="0" strike="noStrike" sz="1000" u="none">
                <a:solidFill>
                  <a:srgbClr val="000000"/>
                </a:solidFill>
                <a:latin typeface="Arial"/>
              </a:defRPr>
            </a:pPr>
          </a:p>
        </c:txPr>
        <c:crossAx val="2094734552"/>
        <c:crosses val="autoZero"/>
        <c:crossBetween val="between"/>
      </c:valAx>
      <c:spPr>
        <a:solidFill>
          <a:srgbClr val="FFFFFF"/>
        </a:solidFill>
        <a:ln w="12700" cap="flat">
          <a:solidFill>
            <a:srgbClr val="808080"/>
          </a:solidFill>
          <a:prstDash val="solid"/>
          <a:round/>
        </a:ln>
        <a:effectLst/>
      </c:spPr>
    </c:plotArea>
    <c:plotVisOnly val="1"/>
    <c:dispBlanksAs val="gap"/>
  </c:chart>
  <c:spPr>
    <a:noFill/>
    <a:ln>
      <a:noFill/>
    </a:ln>
    <a:effectLst/>
  </c:spPr>
</c:chartSpace>
</file>

<file path=xl/charts/chart2.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861933"/>
          <c:y val="0.0221036"/>
          <c:w val="0.898354"/>
          <c:h val="0.931005"/>
        </c:manualLayout>
      </c:layout>
      <c:scatterChart>
        <c:scatterStyle val="lineMarker"/>
        <c:varyColors val="0"/>
        <c:ser>
          <c:idx val="0"/>
          <c:order val="0"/>
          <c:tx>
            <c:v>Series1</c:v>
          </c:tx>
          <c:spPr>
            <a:noFill/>
            <a:ln w="28575" cap="flat">
              <a:solidFill>
                <a:srgbClr val="4A7EBB"/>
              </a:solidFill>
              <a:prstDash val="solid"/>
              <a:round/>
            </a:ln>
            <a:effectLst/>
          </c:spPr>
          <c:marker>
            <c:symbol val="none"/>
            <c:size val="4"/>
            <c:spPr>
              <a:noFill/>
              <a:ln w="28575" cap="flat">
                <a:solidFill>
                  <a:srgbClr val="4A7EBB"/>
                </a:solidFill>
                <a:prstDash val="solid"/>
                <a:round/>
              </a:ln>
              <a:effectLst/>
            </c:spPr>
          </c:marker>
          <c:dLbls>
            <c:numFmt formatCode="General" sourceLinked="1"/>
            <c:txPr>
              <a:bodyPr/>
              <a:lstStyle/>
              <a:p>
                <a:pPr>
                  <a:defRPr b="0" i="0" strike="noStrike" sz="1000" u="none">
                    <a:solidFill>
                      <a:srgbClr val="000000"/>
                    </a:solidFill>
                    <a:latin typeface="Calibri"/>
                  </a:defRPr>
                </a:pPr>
              </a:p>
            </c:txPr>
            <c:dLblPos val="t"/>
            <c:showLegendKey val="0"/>
            <c:showVal val="0"/>
            <c:showCatName val="0"/>
            <c:showSerName val="0"/>
            <c:showPercent val="0"/>
            <c:showBubbleSize val="0"/>
            <c:showLeaderLines val="0"/>
          </c:dLbls>
          <c:xVal>
            <c:numRef>
              <c:f>'Data'!$A$27:$A$147</c:f>
              <c:numCache>
                <c:ptCount val="121"/>
                <c:pt idx="0">
                  <c:v>1889.000000</c:v>
                </c:pt>
                <c:pt idx="1">
                  <c:v>1890.000000</c:v>
                </c:pt>
                <c:pt idx="2">
                  <c:v>1891.000000</c:v>
                </c:pt>
                <c:pt idx="3">
                  <c:v>1892.000000</c:v>
                </c:pt>
                <c:pt idx="4">
                  <c:v>1893.000000</c:v>
                </c:pt>
                <c:pt idx="5">
                  <c:v>1894.000000</c:v>
                </c:pt>
                <c:pt idx="6">
                  <c:v>1895.000000</c:v>
                </c:pt>
                <c:pt idx="7">
                  <c:v>1896.000000</c:v>
                </c:pt>
                <c:pt idx="8">
                  <c:v>1897.000000</c:v>
                </c:pt>
                <c:pt idx="9">
                  <c:v>1898.000000</c:v>
                </c:pt>
                <c:pt idx="10">
                  <c:v>1899.000000</c:v>
                </c:pt>
                <c:pt idx="11">
                  <c:v>1900.000000</c:v>
                </c:pt>
                <c:pt idx="12">
                  <c:v>1901.000000</c:v>
                </c:pt>
                <c:pt idx="13">
                  <c:v>1902.000000</c:v>
                </c:pt>
                <c:pt idx="14">
                  <c:v>1903.000000</c:v>
                </c:pt>
                <c:pt idx="15">
                  <c:v>1904.000000</c:v>
                </c:pt>
                <c:pt idx="16">
                  <c:v>1905.000000</c:v>
                </c:pt>
                <c:pt idx="17">
                  <c:v>1906.000000</c:v>
                </c:pt>
                <c:pt idx="18">
                  <c:v>1907.000000</c:v>
                </c:pt>
                <c:pt idx="19">
                  <c:v>1908.000000</c:v>
                </c:pt>
                <c:pt idx="20">
                  <c:v>1909.000000</c:v>
                </c:pt>
                <c:pt idx="21">
                  <c:v>1910.000000</c:v>
                </c:pt>
                <c:pt idx="22">
                  <c:v>1911.000000</c:v>
                </c:pt>
                <c:pt idx="23">
                  <c:v>1912.000000</c:v>
                </c:pt>
                <c:pt idx="24">
                  <c:v>1913.000000</c:v>
                </c:pt>
                <c:pt idx="25">
                  <c:v>1914.000000</c:v>
                </c:pt>
                <c:pt idx="26">
                  <c:v>1915.000000</c:v>
                </c:pt>
                <c:pt idx="27">
                  <c:v>1916.000000</c:v>
                </c:pt>
                <c:pt idx="28">
                  <c:v>1917.000000</c:v>
                </c:pt>
                <c:pt idx="29">
                  <c:v>1918.000000</c:v>
                </c:pt>
                <c:pt idx="30">
                  <c:v>1919.000000</c:v>
                </c:pt>
                <c:pt idx="31">
                  <c:v>1920.000000</c:v>
                </c:pt>
                <c:pt idx="32">
                  <c:v>1921.000000</c:v>
                </c:pt>
                <c:pt idx="33">
                  <c:v>1922.000000</c:v>
                </c:pt>
                <c:pt idx="34">
                  <c:v>1923.000000</c:v>
                </c:pt>
                <c:pt idx="35">
                  <c:v>1924.000000</c:v>
                </c:pt>
                <c:pt idx="36">
                  <c:v>1925.000000</c:v>
                </c:pt>
                <c:pt idx="37">
                  <c:v>1926.000000</c:v>
                </c:pt>
                <c:pt idx="38">
                  <c:v>1927.000000</c:v>
                </c:pt>
                <c:pt idx="39">
                  <c:v>1928.000000</c:v>
                </c:pt>
                <c:pt idx="40">
                  <c:v>1929.000000</c:v>
                </c:pt>
                <c:pt idx="41">
                  <c:v>1930.000000</c:v>
                </c:pt>
                <c:pt idx="42">
                  <c:v>1931.000000</c:v>
                </c:pt>
                <c:pt idx="43">
                  <c:v>1932.000000</c:v>
                </c:pt>
                <c:pt idx="44">
                  <c:v>1933.000000</c:v>
                </c:pt>
                <c:pt idx="45">
                  <c:v>1934.000000</c:v>
                </c:pt>
                <c:pt idx="46">
                  <c:v>1935.000000</c:v>
                </c:pt>
                <c:pt idx="47">
                  <c:v>1936.000000</c:v>
                </c:pt>
                <c:pt idx="48">
                  <c:v>1937.000000</c:v>
                </c:pt>
                <c:pt idx="49">
                  <c:v>1938.000000</c:v>
                </c:pt>
                <c:pt idx="50">
                  <c:v>1939.000000</c:v>
                </c:pt>
                <c:pt idx="51">
                  <c:v>1940.000000</c:v>
                </c:pt>
                <c:pt idx="52">
                  <c:v>1941.000000</c:v>
                </c:pt>
                <c:pt idx="53">
                  <c:v>1942.000000</c:v>
                </c:pt>
                <c:pt idx="54">
                  <c:v>1943.000000</c:v>
                </c:pt>
                <c:pt idx="55">
                  <c:v>1944.000000</c:v>
                </c:pt>
                <c:pt idx="56">
                  <c:v>1945.000000</c:v>
                </c:pt>
                <c:pt idx="57">
                  <c:v>1946.000000</c:v>
                </c:pt>
                <c:pt idx="58">
                  <c:v>1947.000000</c:v>
                </c:pt>
                <c:pt idx="59">
                  <c:v>1948.000000</c:v>
                </c:pt>
                <c:pt idx="60">
                  <c:v>1949.000000</c:v>
                </c:pt>
                <c:pt idx="61">
                  <c:v>1950.000000</c:v>
                </c:pt>
                <c:pt idx="62">
                  <c:v>1951.000000</c:v>
                </c:pt>
                <c:pt idx="63">
                  <c:v>1952.000000</c:v>
                </c:pt>
                <c:pt idx="64">
                  <c:v>1953.000000</c:v>
                </c:pt>
                <c:pt idx="65">
                  <c:v>1954.000000</c:v>
                </c:pt>
                <c:pt idx="66">
                  <c:v>1955.000000</c:v>
                </c:pt>
                <c:pt idx="67">
                  <c:v>1956.000000</c:v>
                </c:pt>
                <c:pt idx="68">
                  <c:v>1957.000000</c:v>
                </c:pt>
                <c:pt idx="69">
                  <c:v>1958.000000</c:v>
                </c:pt>
                <c:pt idx="70">
                  <c:v>1959.000000</c:v>
                </c:pt>
                <c:pt idx="71">
                  <c:v>1960.000000</c:v>
                </c:pt>
                <c:pt idx="72">
                  <c:v>1961.000000</c:v>
                </c:pt>
                <c:pt idx="73">
                  <c:v>1962.000000</c:v>
                </c:pt>
                <c:pt idx="74">
                  <c:v>1963.000000</c:v>
                </c:pt>
                <c:pt idx="75">
                  <c:v>1964.000000</c:v>
                </c:pt>
                <c:pt idx="76">
                  <c:v>1965.000000</c:v>
                </c:pt>
                <c:pt idx="77">
                  <c:v>1966.000000</c:v>
                </c:pt>
                <c:pt idx="78">
                  <c:v>1967.000000</c:v>
                </c:pt>
                <c:pt idx="79">
                  <c:v>1968.000000</c:v>
                </c:pt>
                <c:pt idx="80">
                  <c:v>1969.000000</c:v>
                </c:pt>
                <c:pt idx="81">
                  <c:v>1970.000000</c:v>
                </c:pt>
                <c:pt idx="82">
                  <c:v>1971.000000</c:v>
                </c:pt>
                <c:pt idx="83">
                  <c:v>1972.000000</c:v>
                </c:pt>
                <c:pt idx="84">
                  <c:v>1973.000000</c:v>
                </c:pt>
                <c:pt idx="85">
                  <c:v>1974.000000</c:v>
                </c:pt>
                <c:pt idx="86">
                  <c:v>1975.000000</c:v>
                </c:pt>
                <c:pt idx="87">
                  <c:v>1976.000000</c:v>
                </c:pt>
                <c:pt idx="88">
                  <c:v>1977.000000</c:v>
                </c:pt>
                <c:pt idx="89">
                  <c:v>1978.000000</c:v>
                </c:pt>
                <c:pt idx="90">
                  <c:v>1979.000000</c:v>
                </c:pt>
                <c:pt idx="91">
                  <c:v>1980.000000</c:v>
                </c:pt>
                <c:pt idx="92">
                  <c:v>1981.000000</c:v>
                </c:pt>
                <c:pt idx="93">
                  <c:v>1982.000000</c:v>
                </c:pt>
                <c:pt idx="94">
                  <c:v>1983.000000</c:v>
                </c:pt>
                <c:pt idx="95">
                  <c:v>1984.000000</c:v>
                </c:pt>
                <c:pt idx="96">
                  <c:v>1985.000000</c:v>
                </c:pt>
                <c:pt idx="97">
                  <c:v>1986.000000</c:v>
                </c:pt>
                <c:pt idx="98">
                  <c:v>1987.000000</c:v>
                </c:pt>
                <c:pt idx="99">
                  <c:v>1988.000000</c:v>
                </c:pt>
                <c:pt idx="100">
                  <c:v>1989.000000</c:v>
                </c:pt>
                <c:pt idx="101">
                  <c:v>1990.000000</c:v>
                </c:pt>
                <c:pt idx="102">
                  <c:v>1991.000000</c:v>
                </c:pt>
                <c:pt idx="103">
                  <c:v>1992.000000</c:v>
                </c:pt>
                <c:pt idx="104">
                  <c:v>1993.000000</c:v>
                </c:pt>
                <c:pt idx="105">
                  <c:v>1994.000000</c:v>
                </c:pt>
                <c:pt idx="106">
                  <c:v>1995.000000</c:v>
                </c:pt>
                <c:pt idx="107">
                  <c:v>1996.000000</c:v>
                </c:pt>
                <c:pt idx="108">
                  <c:v>1997.000000</c:v>
                </c:pt>
                <c:pt idx="109">
                  <c:v>1998.000000</c:v>
                </c:pt>
                <c:pt idx="110">
                  <c:v>1999.000000</c:v>
                </c:pt>
                <c:pt idx="111">
                  <c:v>2000.000000</c:v>
                </c:pt>
                <c:pt idx="112">
                  <c:v>2001.000000</c:v>
                </c:pt>
                <c:pt idx="113">
                  <c:v>2002.000000</c:v>
                </c:pt>
                <c:pt idx="114">
                  <c:v>2003.000000</c:v>
                </c:pt>
                <c:pt idx="115">
                  <c:v>2004.000000</c:v>
                </c:pt>
                <c:pt idx="116">
                  <c:v>2005.000000</c:v>
                </c:pt>
                <c:pt idx="117">
                  <c:v>2006.000000</c:v>
                </c:pt>
                <c:pt idx="118">
                  <c:v>2007.000000</c:v>
                </c:pt>
                <c:pt idx="119">
                  <c:v>2008.000000</c:v>
                </c:pt>
                <c:pt idx="120">
                  <c:v>2009.000000</c:v>
                </c:pt>
              </c:numCache>
            </c:numRef>
          </c:xVal>
          <c:yVal>
            <c:numRef>
              <c:f>'Data'!$I$27:$I$147</c:f>
              <c:numCache>
                <c:ptCount val="121"/>
                <c:pt idx="0">
                  <c:v>2731.570142</c:v>
                </c:pt>
                <c:pt idx="1">
                  <c:v>2674.739801</c:v>
                </c:pt>
                <c:pt idx="2">
                  <c:v>2802.827499</c:v>
                </c:pt>
                <c:pt idx="3">
                  <c:v>2877.010456</c:v>
                </c:pt>
                <c:pt idx="4">
                  <c:v>2834.846162</c:v>
                </c:pt>
                <c:pt idx="5">
                  <c:v>2698.707529</c:v>
                </c:pt>
                <c:pt idx="6">
                  <c:v>2979.457336</c:v>
                </c:pt>
                <c:pt idx="7">
                  <c:v>2916.275277</c:v>
                </c:pt>
                <c:pt idx="8">
                  <c:v>3089.246322</c:v>
                </c:pt>
                <c:pt idx="9">
                  <c:v>3085.275476</c:v>
                </c:pt>
                <c:pt idx="10">
                  <c:v>3389.813052</c:v>
                </c:pt>
                <c:pt idx="11">
                  <c:v>3362.054136</c:v>
                </c:pt>
                <c:pt idx="12">
                  <c:v>3702.785787</c:v>
                </c:pt>
                <c:pt idx="13">
                  <c:v>3659.712065</c:v>
                </c:pt>
                <c:pt idx="14">
                  <c:v>3808.077903</c:v>
                </c:pt>
                <c:pt idx="15">
                  <c:v>3785.689957</c:v>
                </c:pt>
                <c:pt idx="16">
                  <c:v>3923.570459</c:v>
                </c:pt>
                <c:pt idx="17">
                  <c:v>4273.844535</c:v>
                </c:pt>
                <c:pt idx="18">
                  <c:v>4276.705113</c:v>
                </c:pt>
                <c:pt idx="19">
                  <c:v>3929.989972</c:v>
                </c:pt>
                <c:pt idx="20">
                  <c:v>4274.442350</c:v>
                </c:pt>
                <c:pt idx="21">
                  <c:v>4263.359503</c:v>
                </c:pt>
                <c:pt idx="22">
                  <c:v>4399.928251</c:v>
                </c:pt>
                <c:pt idx="23">
                  <c:v>4444.755223</c:v>
                </c:pt>
                <c:pt idx="24">
                  <c:v>4501.988021</c:v>
                </c:pt>
                <c:pt idx="25">
                  <c:v>4361.754443</c:v>
                </c:pt>
                <c:pt idx="26">
                  <c:v>4224.743781</c:v>
                </c:pt>
                <c:pt idx="27">
                  <c:v>4541.708901</c:v>
                </c:pt>
                <c:pt idx="28">
                  <c:v>4387.478029</c:v>
                </c:pt>
                <c:pt idx="29">
                  <c:v>4369.959262</c:v>
                </c:pt>
                <c:pt idx="30">
                  <c:v>4505.826737</c:v>
                </c:pt>
                <c:pt idx="31">
                  <c:v>4637.213285</c:v>
                </c:pt>
                <c:pt idx="32">
                  <c:v>4842.813954</c:v>
                </c:pt>
                <c:pt idx="33">
                  <c:v>4952.360565</c:v>
                </c:pt>
                <c:pt idx="34">
                  <c:v>5310.284847</c:v>
                </c:pt>
                <c:pt idx="35">
                  <c:v>5595.713523</c:v>
                </c:pt>
                <c:pt idx="36">
                  <c:v>5351.595638</c:v>
                </c:pt>
                <c:pt idx="37">
                  <c:v>5712.110578</c:v>
                </c:pt>
                <c:pt idx="38">
                  <c:v>5760.196756</c:v>
                </c:pt>
                <c:pt idx="39">
                  <c:v>5818.535581</c:v>
                </c:pt>
                <c:pt idx="40">
                  <c:v>6071.470984</c:v>
                </c:pt>
                <c:pt idx="41">
                  <c:v>5686.178628</c:v>
                </c:pt>
                <c:pt idx="42">
                  <c:v>5469.072499</c:v>
                </c:pt>
                <c:pt idx="43">
                  <c:v>4951.900583</c:v>
                </c:pt>
                <c:pt idx="44">
                  <c:v>4815.926239</c:v>
                </c:pt>
                <c:pt idx="45">
                  <c:v>5123.656959</c:v>
                </c:pt>
                <c:pt idx="46">
                  <c:v>5400.960408</c:v>
                </c:pt>
                <c:pt idx="47">
                  <c:v>5909.390743</c:v>
                </c:pt>
                <c:pt idx="48">
                  <c:v>6090.563298</c:v>
                </c:pt>
                <c:pt idx="49">
                  <c:v>5945.863089</c:v>
                </c:pt>
                <c:pt idx="50">
                  <c:v>6225.814804</c:v>
                </c:pt>
                <c:pt idx="51">
                  <c:v>6495.560484</c:v>
                </c:pt>
                <c:pt idx="52">
                  <c:v>6892.752001</c:v>
                </c:pt>
                <c:pt idx="53">
                  <c:v>6662.803007</c:v>
                </c:pt>
                <c:pt idx="54">
                  <c:v>6759.279523</c:v>
                </c:pt>
                <c:pt idx="55">
                  <c:v>6872.800978</c:v>
                </c:pt>
                <c:pt idx="56">
                  <c:v>7217.906970</c:v>
                </c:pt>
                <c:pt idx="57">
                  <c:v>8015.240293</c:v>
                </c:pt>
                <c:pt idx="58">
                  <c:v>8007.942345</c:v>
                </c:pt>
                <c:pt idx="59">
                  <c:v>8045.457010</c:v>
                </c:pt>
                <c:pt idx="60">
                  <c:v>8125.391752</c:v>
                </c:pt>
                <c:pt idx="61">
                  <c:v>8502.692926</c:v>
                </c:pt>
                <c:pt idx="62">
                  <c:v>8492.658235</c:v>
                </c:pt>
                <c:pt idx="63">
                  <c:v>8612.567613</c:v>
                </c:pt>
                <c:pt idx="64">
                  <c:v>8874.239399</c:v>
                </c:pt>
                <c:pt idx="65">
                  <c:v>8897.173686</c:v>
                </c:pt>
                <c:pt idx="66">
                  <c:v>9378.791582</c:v>
                </c:pt>
                <c:pt idx="67">
                  <c:v>9480.339366</c:v>
                </c:pt>
                <c:pt idx="68">
                  <c:v>9541.591461</c:v>
                </c:pt>
                <c:pt idx="69">
                  <c:v>9458.975146</c:v>
                </c:pt>
                <c:pt idx="70">
                  <c:v>9819.111283</c:v>
                </c:pt>
                <c:pt idx="71">
                  <c:v>9886.802306</c:v>
                </c:pt>
                <c:pt idx="72">
                  <c:v>9927.012557</c:v>
                </c:pt>
                <c:pt idx="73">
                  <c:v>10259.599789</c:v>
                </c:pt>
                <c:pt idx="74">
                  <c:v>10529.756258</c:v>
                </c:pt>
                <c:pt idx="75">
                  <c:v>11007.919504</c:v>
                </c:pt>
                <c:pt idx="76">
                  <c:v>11557.939836</c:v>
                </c:pt>
                <c:pt idx="77">
                  <c:v>12074.851221</c:v>
                </c:pt>
                <c:pt idx="78">
                  <c:v>12299.897235</c:v>
                </c:pt>
                <c:pt idx="79">
                  <c:v>12877.155452</c:v>
                </c:pt>
                <c:pt idx="80">
                  <c:v>13224.511576</c:v>
                </c:pt>
                <c:pt idx="81">
                  <c:v>13375.359196</c:v>
                </c:pt>
                <c:pt idx="82">
                  <c:v>13711.987398</c:v>
                </c:pt>
                <c:pt idx="83">
                  <c:v>14396.617950</c:v>
                </c:pt>
                <c:pt idx="84">
                  <c:v>14959.175308</c:v>
                </c:pt>
                <c:pt idx="85">
                  <c:v>14709.721239</c:v>
                </c:pt>
                <c:pt idx="86">
                  <c:v>14902.648198</c:v>
                </c:pt>
                <c:pt idx="87">
                  <c:v>15572.323824</c:v>
                </c:pt>
                <c:pt idx="88">
                  <c:v>16070.003606</c:v>
                </c:pt>
                <c:pt idx="89">
                  <c:v>16599.456873</c:v>
                </c:pt>
                <c:pt idx="90">
                  <c:v>16816.067389</c:v>
                </c:pt>
                <c:pt idx="91">
                  <c:v>16576.574573</c:v>
                </c:pt>
                <c:pt idx="92">
                  <c:v>16646.172523</c:v>
                </c:pt>
                <c:pt idx="93">
                  <c:v>16719.585382</c:v>
                </c:pt>
                <c:pt idx="94">
                  <c:v>17515.637234</c:v>
                </c:pt>
                <c:pt idx="95">
                  <c:v>18284.403769</c:v>
                </c:pt>
                <c:pt idx="96">
                  <c:v>19063.945970</c:v>
                </c:pt>
                <c:pt idx="97">
                  <c:v>19657.785054</c:v>
                </c:pt>
                <c:pt idx="98">
                  <c:v>20132.170782</c:v>
                </c:pt>
                <c:pt idx="99">
                  <c:v>20758.540895</c:v>
                </c:pt>
                <c:pt idx="100">
                  <c:v>21142.763357</c:v>
                </c:pt>
                <c:pt idx="101">
                  <c:v>21332.497075</c:v>
                </c:pt>
                <c:pt idx="102">
                  <c:v>21086.691474</c:v>
                </c:pt>
                <c:pt idx="103">
                  <c:v>21489.452177</c:v>
                </c:pt>
                <c:pt idx="104">
                  <c:v>21921.197069</c:v>
                </c:pt>
                <c:pt idx="105">
                  <c:v>22467.695515</c:v>
                </c:pt>
                <c:pt idx="106">
                  <c:v>22802.976878</c:v>
                </c:pt>
                <c:pt idx="107">
                  <c:v>23325.448438</c:v>
                </c:pt>
                <c:pt idx="108">
                  <c:v>23898.914851</c:v>
                </c:pt>
                <c:pt idx="109">
                  <c:v>24861.128211</c:v>
                </c:pt>
                <c:pt idx="110">
                  <c:v>25922.571314</c:v>
                </c:pt>
                <c:pt idx="111">
                  <c:v>26939.623884</c:v>
                </c:pt>
                <c:pt idx="112">
                  <c:v>27388.939129</c:v>
                </c:pt>
                <c:pt idx="113">
                  <c:v>27848.501154</c:v>
                </c:pt>
                <c:pt idx="114">
                  <c:v>28368.686990</c:v>
                </c:pt>
                <c:pt idx="115">
                  <c:v>29087.295635</c:v>
                </c:pt>
                <c:pt idx="116">
                  <c:v>29790.295775</c:v>
                </c:pt>
                <c:pt idx="117">
                  <c:v>30364.433438</c:v>
                </c:pt>
                <c:pt idx="118">
                  <c:v>30867.609872</c:v>
                </c:pt>
                <c:pt idx="119">
                  <c:v>30509.081237</c:v>
                </c:pt>
                <c:pt idx="120">
                  <c:v>29933.854676</c:v>
                </c:pt>
              </c:numCache>
            </c:numRef>
          </c:yVal>
          <c:smooth val="0"/>
        </c:ser>
        <c:axId val="2094734552"/>
        <c:axId val="2094734553"/>
      </c:scatterChart>
      <c:valAx>
        <c:axId val="2094734552"/>
        <c:scaling>
          <c:orientation val="minMax"/>
        </c:scaling>
        <c:delete val="0"/>
        <c:axPos val="b"/>
        <c:numFmt formatCode="General" sourceLinked="1"/>
        <c:majorTickMark val="out"/>
        <c:minorTickMark val="none"/>
        <c:tickLblPos val="nextTo"/>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3"/>
        <c:crosses val="autoZero"/>
        <c:crossBetween val="between"/>
        <c:majorUnit val="75"/>
        <c:minorUnit val="37.5"/>
      </c:valAx>
      <c:valAx>
        <c:axId val="2094734553"/>
        <c:scaling>
          <c:logBase val="10"/>
          <c:orientation val="minMax"/>
          <c:max val="40000"/>
          <c:min val="1500"/>
        </c:scaling>
        <c:delete val="0"/>
        <c:axPos val="l"/>
        <c:majorGridlines>
          <c:spPr>
            <a:ln w="12700" cap="flat">
              <a:solidFill>
                <a:srgbClr val="888888"/>
              </a:solidFill>
              <a:prstDash val="solid"/>
              <a:round/>
            </a:ln>
          </c:spPr>
        </c:majorGridlines>
        <c:numFmt formatCode="General" sourceLinked="1"/>
        <c:majorTickMark val="out"/>
        <c:minorTickMark val="none"/>
        <c:tickLblPos val="nextTo"/>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2"/>
        <c:crosses val="autoZero"/>
        <c:crossBetween val="between"/>
      </c:valAx>
      <c:spPr>
        <a:solidFill>
          <a:srgbClr val="FFFFFF"/>
        </a:solidFill>
        <a:ln w="12700" cap="flat">
          <a:noFill/>
          <a:miter lim="400000"/>
        </a:ln>
        <a:effectLst/>
      </c:spPr>
    </c:plotArea>
    <c:plotVisOnly val="1"/>
    <c:dispBlanksAs val="gap"/>
  </c:chart>
  <c:spPr>
    <a:solidFill>
      <a:srgbClr val="FFFFFF"/>
    </a:solidFill>
    <a:ln w="12700" cap="flat">
      <a:solidFill>
        <a:srgbClr val="888888"/>
      </a:solidFill>
      <a:prstDash val="solid"/>
      <a:round/>
    </a:ln>
    <a:effectLst/>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s>

</file>

<file path=xl/drawings/_rels/drawing2.xml.rels><?xml version="1.0" encoding="UTF-8"?>
<Relationships xmlns="http://schemas.openxmlformats.org/package/2006/relationships"><Relationship Id="rId1" Type="http://schemas.openxmlformats.org/officeDocument/2006/relationships/chart" Target="../charts/chart2.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49001</xdr:colOff>
      <xdr:row>2</xdr:row>
      <xdr:rowOff>67994</xdr:rowOff>
    </xdr:from>
    <xdr:to>
      <xdr:col>11</xdr:col>
      <xdr:colOff>120547</xdr:colOff>
      <xdr:row>33</xdr:row>
      <xdr:rowOff>154035</xdr:rowOff>
    </xdr:to>
    <xdr:graphicFrame>
      <xdr:nvGraphicFramePr>
        <xdr:cNvPr id="2" name="Chart 1"/>
        <xdr:cNvGraphicFramePr/>
      </xdr:nvGraphicFramePr>
      <xdr:xfrm>
        <a:off x="49001" y="398194"/>
        <a:ext cx="8453547" cy="5204142"/>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5</xdr:col>
      <xdr:colOff>351775</xdr:colOff>
      <xdr:row>7</xdr:row>
      <xdr:rowOff>13755</xdr:rowOff>
    </xdr:from>
    <xdr:to>
      <xdr:col>9</xdr:col>
      <xdr:colOff>401187</xdr:colOff>
      <xdr:row>10</xdr:row>
      <xdr:rowOff>91421</xdr:rowOff>
    </xdr:to>
    <xdr:sp>
      <xdr:nvSpPr>
        <xdr:cNvPr id="3" name="Text Box 11"/>
        <xdr:cNvSpPr txBox="1"/>
      </xdr:nvSpPr>
      <xdr:spPr>
        <a:xfrm>
          <a:off x="4161775" y="1169455"/>
          <a:ext cx="3097413" cy="572967"/>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22859" tIns="22859" rIns="22859" bIns="22859" numCol="1" anchor="ctr">
          <a:noAutofit/>
        </a:bodyPr>
        <a:lstStyle/>
        <a:p>
          <a:pPr marL="0" marR="0" indent="0" algn="ctr" defTabSz="914400" latinLnBrk="0">
            <a:lnSpc>
              <a:spcPct val="100000"/>
            </a:lnSpc>
            <a:spcBef>
              <a:spcPts val="0"/>
            </a:spcBef>
            <a:spcAft>
              <a:spcPts val="0"/>
            </a:spcAft>
            <a:buClrTx/>
            <a:buSzTx/>
            <a:buFontTx/>
            <a:buNone/>
            <a:tabLst/>
            <a:defRPr b="0" baseline="0" cap="none" i="0" spc="0" strike="noStrike" sz="1600" u="none">
              <a:solidFill>
                <a:srgbClr val="FF0000"/>
              </a:solidFill>
              <a:uFillTx/>
              <a:latin typeface="Arial"/>
              <a:ea typeface="Arial"/>
              <a:cs typeface="Arial"/>
              <a:sym typeface="Arial"/>
            </a:defRPr>
          </a:pPr>
          <a:r>
            <a:rPr b="0" baseline="0" cap="none" i="0" spc="0" strike="noStrike" sz="1600" u="none">
              <a:solidFill>
                <a:srgbClr val="FF0000"/>
              </a:solidFill>
              <a:uFillTx/>
              <a:latin typeface="Arial"/>
              <a:ea typeface="Arial"/>
              <a:cs typeface="Arial"/>
              <a:sym typeface="Arial"/>
            </a:rPr>
            <a:t>Actual Real Stock Price (P)</a:t>
          </a:r>
        </a:p>
      </xdr:txBody>
    </xdr:sp>
    <xdr:clientData/>
  </xdr:twoCellAnchor>
  <xdr:twoCellAnchor>
    <xdr:from>
      <xdr:col>0</xdr:col>
      <xdr:colOff>650148</xdr:colOff>
      <xdr:row>14</xdr:row>
      <xdr:rowOff>47143</xdr:rowOff>
    </xdr:from>
    <xdr:to>
      <xdr:col>4</xdr:col>
      <xdr:colOff>34934</xdr:colOff>
      <xdr:row>18</xdr:row>
      <xdr:rowOff>61603</xdr:rowOff>
    </xdr:to>
    <xdr:sp>
      <xdr:nvSpPr>
        <xdr:cNvPr id="4" name="Text Box 12"/>
        <xdr:cNvSpPr txBox="1"/>
      </xdr:nvSpPr>
      <xdr:spPr>
        <a:xfrm>
          <a:off x="650148" y="2358543"/>
          <a:ext cx="2432787" cy="67486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22859" tIns="22859" rIns="22859" bIns="22859" numCol="1" anchor="ctr">
          <a:noAutofit/>
        </a:bodyPr>
        <a:lstStyle/>
        <a:p>
          <a:pPr marL="0" marR="0" indent="0" algn="ctr" defTabSz="914400" latinLnBrk="0">
            <a:lnSpc>
              <a:spcPct val="100000"/>
            </a:lnSpc>
            <a:spcBef>
              <a:spcPts val="0"/>
            </a:spcBef>
            <a:spcAft>
              <a:spcPts val="0"/>
            </a:spcAft>
            <a:buClrTx/>
            <a:buSzTx/>
            <a:buFontTx/>
            <a:buNone/>
            <a:tabLst/>
            <a:defRPr b="0" baseline="0" cap="none" i="0" spc="0" strike="noStrike" sz="1600" u="none">
              <a:solidFill>
                <a:srgbClr val="000000"/>
              </a:solidFill>
              <a:uFillTx/>
              <a:latin typeface="Arial"/>
              <a:ea typeface="Arial"/>
              <a:cs typeface="Arial"/>
              <a:sym typeface="Arial"/>
            </a:defRPr>
          </a:pPr>
          <a:r>
            <a:rPr b="0" baseline="0" cap="none" i="0" spc="0" strike="noStrike" sz="1600" u="none">
              <a:solidFill>
                <a:srgbClr val="000000"/>
              </a:solidFill>
              <a:uFillTx/>
              <a:latin typeface="Arial"/>
              <a:ea typeface="Arial"/>
              <a:cs typeface="Arial"/>
              <a:sym typeface="Arial"/>
            </a:rPr>
            <a:t>PDV of Dividends</a:t>
          </a:r>
          <a:endParaRPr b="0" baseline="0" cap="none" i="0" spc="0" strike="noStrike" sz="1000" u="none">
            <a:solidFill>
              <a:srgbClr val="000000"/>
            </a:solidFill>
            <a:uFillTx/>
            <a:latin typeface="Arial"/>
            <a:ea typeface="Arial"/>
            <a:cs typeface="Arial"/>
            <a:sym typeface="Arial"/>
          </a:endParaRPr>
        </a:p>
        <a:p>
          <a:pPr marL="0" marR="0" indent="0" algn="ctr" defTabSz="914400" latinLnBrk="0">
            <a:lnSpc>
              <a:spcPct val="100000"/>
            </a:lnSpc>
            <a:spcBef>
              <a:spcPts val="0"/>
            </a:spcBef>
            <a:spcAft>
              <a:spcPts val="0"/>
            </a:spcAft>
            <a:buClrTx/>
            <a:buSzTx/>
            <a:buFontTx/>
            <a:buNone/>
            <a:tabLst/>
            <a:defRPr b="0" baseline="0" cap="none" i="0" spc="0" strike="noStrike" sz="1600" u="none">
              <a:solidFill>
                <a:srgbClr val="000000"/>
              </a:solidFill>
              <a:uFillTx/>
              <a:latin typeface="Arial"/>
              <a:ea typeface="Arial"/>
              <a:cs typeface="Arial"/>
              <a:sym typeface="Arial"/>
            </a:defRPr>
          </a:pPr>
          <a:r>
            <a:rPr b="0" baseline="0" cap="none" i="0" spc="0" strike="noStrike" sz="1600" u="none">
              <a:solidFill>
                <a:srgbClr val="000000"/>
              </a:solidFill>
              <a:uFillTx/>
              <a:latin typeface="Arial"/>
              <a:ea typeface="Arial"/>
              <a:cs typeface="Arial"/>
              <a:sym typeface="Arial"/>
            </a:rPr>
            <a:t>(P* A=0)</a:t>
          </a:r>
        </a:p>
      </xdr:txBody>
    </xdr:sp>
    <xdr:clientData/>
  </xdr:twoCellAnchor>
  <xdr:twoCellAnchor>
    <xdr:from>
      <xdr:col>3</xdr:col>
      <xdr:colOff>103352</xdr:colOff>
      <xdr:row>7</xdr:row>
      <xdr:rowOff>1000</xdr:rowOff>
    </xdr:from>
    <xdr:to>
      <xdr:col>5</xdr:col>
      <xdr:colOff>624418</xdr:colOff>
      <xdr:row>13</xdr:row>
      <xdr:rowOff>118140</xdr:rowOff>
    </xdr:to>
    <xdr:sp>
      <xdr:nvSpPr>
        <xdr:cNvPr id="5" name="Text Box 13"/>
        <xdr:cNvSpPr txBox="1"/>
      </xdr:nvSpPr>
      <xdr:spPr>
        <a:xfrm>
          <a:off x="2389352" y="1156700"/>
          <a:ext cx="2045067" cy="110774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22859" tIns="22859" rIns="22859" bIns="22859" numCol="1" anchor="ctr">
          <a:noAutofit/>
        </a:bodyPr>
        <a:lstStyle/>
        <a:p>
          <a:pPr marL="0" marR="0" indent="0" algn="ctr" defTabSz="914400" latinLnBrk="0">
            <a:lnSpc>
              <a:spcPct val="100000"/>
            </a:lnSpc>
            <a:spcBef>
              <a:spcPts val="0"/>
            </a:spcBef>
            <a:spcAft>
              <a:spcPts val="0"/>
            </a:spcAft>
            <a:buClrTx/>
            <a:buSzTx/>
            <a:buFontTx/>
            <a:buNone/>
            <a:tabLst/>
            <a:defRPr b="0" baseline="0" cap="none" i="0" spc="0" strike="noStrike" sz="1600" u="none">
              <a:solidFill>
                <a:srgbClr val="558ED5"/>
              </a:solidFill>
              <a:uFillTx/>
              <a:latin typeface="Arial"/>
              <a:ea typeface="Arial"/>
              <a:cs typeface="Arial"/>
              <a:sym typeface="Arial"/>
            </a:defRPr>
          </a:pPr>
          <a:r>
            <a:rPr b="0" baseline="0" cap="none" i="0" spc="0" strike="noStrike" sz="1600" u="none">
              <a:solidFill>
                <a:srgbClr val="558ED5"/>
              </a:solidFill>
              <a:uFillTx/>
              <a:latin typeface="Arial"/>
              <a:ea typeface="Arial"/>
              <a:cs typeface="Arial"/>
              <a:sym typeface="Arial"/>
            </a:rPr>
            <a:t>PDV Dividends Using Actual Future Interest Rates</a:t>
          </a:r>
        </a:p>
      </xdr:txBody>
    </xdr:sp>
    <xdr:clientData/>
  </xdr:twoCellAnchor>
  <xdr:twoCellAnchor>
    <xdr:from>
      <xdr:col>7</xdr:col>
      <xdr:colOff>194967</xdr:colOff>
      <xdr:row>21</xdr:row>
      <xdr:rowOff>98028</xdr:rowOff>
    </xdr:from>
    <xdr:to>
      <xdr:col>10</xdr:col>
      <xdr:colOff>736254</xdr:colOff>
      <xdr:row>27</xdr:row>
      <xdr:rowOff>126028</xdr:rowOff>
    </xdr:to>
    <xdr:sp>
      <xdr:nvSpPr>
        <xdr:cNvPr id="6" name="Text Box 14"/>
        <xdr:cNvSpPr txBox="1"/>
      </xdr:nvSpPr>
      <xdr:spPr>
        <a:xfrm>
          <a:off x="5528967" y="3565128"/>
          <a:ext cx="2827288" cy="101860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22859" tIns="22859" rIns="22859" bIns="22859" numCol="1" anchor="ctr">
          <a:noAutofit/>
        </a:bodyPr>
        <a:lstStyle/>
        <a:p>
          <a:pPr marL="0" marR="0" indent="0" algn="ctr" defTabSz="914400" latinLnBrk="0">
            <a:lnSpc>
              <a:spcPct val="100000"/>
            </a:lnSpc>
            <a:spcBef>
              <a:spcPts val="0"/>
            </a:spcBef>
            <a:spcAft>
              <a:spcPts val="0"/>
            </a:spcAft>
            <a:buClrTx/>
            <a:buSzTx/>
            <a:buFontTx/>
            <a:buNone/>
            <a:tabLst/>
            <a:defRPr b="0" baseline="0" cap="none" i="0" spc="0" strike="noStrike" sz="1600" u="none">
              <a:solidFill>
                <a:srgbClr val="00B050"/>
              </a:solidFill>
              <a:uFillTx/>
              <a:latin typeface="Arial"/>
              <a:ea typeface="Arial"/>
              <a:cs typeface="Arial"/>
              <a:sym typeface="Arial"/>
            </a:defRPr>
          </a:pPr>
          <a:r>
            <a:rPr b="0" baseline="0" cap="none" i="0" spc="0" strike="noStrike" sz="1600" u="none">
              <a:solidFill>
                <a:srgbClr val="00B050"/>
              </a:solidFill>
              <a:uFillTx/>
              <a:latin typeface="Arial"/>
              <a:ea typeface="Arial"/>
              <a:cs typeface="Arial"/>
              <a:sym typeface="Arial"/>
            </a:rPr>
            <a:t>Consumption-Discounted Dividends, (P*, A=4)</a:t>
          </a:r>
        </a:p>
      </xdr:txBody>
    </xdr:sp>
    <xdr:clientData/>
  </xdr:twoCellAnchor>
  <xdr:twoCellAnchor>
    <xdr:from>
      <xdr:col>7</xdr:col>
      <xdr:colOff>514934</xdr:colOff>
      <xdr:row>19</xdr:row>
      <xdr:rowOff>151395</xdr:rowOff>
    </xdr:from>
    <xdr:to>
      <xdr:col>8</xdr:col>
      <xdr:colOff>29926</xdr:colOff>
      <xdr:row>23</xdr:row>
      <xdr:rowOff>44618</xdr:rowOff>
    </xdr:to>
    <xdr:sp>
      <xdr:nvSpPr>
        <xdr:cNvPr id="7" name="Straight Arrow Connector 13"/>
        <xdr:cNvSpPr/>
      </xdr:nvSpPr>
      <xdr:spPr>
        <a:xfrm flipH="1" flipV="1">
          <a:off x="5848934" y="3288295"/>
          <a:ext cx="276993" cy="553624"/>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1</xdr:col>
      <xdr:colOff>722358</xdr:colOff>
      <xdr:row>18</xdr:row>
      <xdr:rowOff>17591</xdr:rowOff>
    </xdr:from>
    <xdr:to>
      <xdr:col>2</xdr:col>
      <xdr:colOff>342584</xdr:colOff>
      <xdr:row>21</xdr:row>
      <xdr:rowOff>164459</xdr:rowOff>
    </xdr:to>
    <xdr:sp>
      <xdr:nvSpPr>
        <xdr:cNvPr id="8" name="Straight Arrow Connector 15"/>
        <xdr:cNvSpPr/>
      </xdr:nvSpPr>
      <xdr:spPr>
        <a:xfrm flipH="1">
          <a:off x="1484358" y="2989391"/>
          <a:ext cx="382227" cy="642169"/>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7</xdr:col>
      <xdr:colOff>670039</xdr:colOff>
      <xdr:row>9</xdr:row>
      <xdr:rowOff>75218</xdr:rowOff>
    </xdr:from>
    <xdr:to>
      <xdr:col>9</xdr:col>
      <xdr:colOff>431086</xdr:colOff>
      <xdr:row>12</xdr:row>
      <xdr:rowOff>33848</xdr:rowOff>
    </xdr:to>
    <xdr:sp>
      <xdr:nvSpPr>
        <xdr:cNvPr id="9" name="Straight Arrow Connector 17"/>
        <xdr:cNvSpPr/>
      </xdr:nvSpPr>
      <xdr:spPr>
        <a:xfrm>
          <a:off x="6004039" y="1561118"/>
          <a:ext cx="1285048" cy="453931"/>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5</xdr:col>
      <xdr:colOff>100419</xdr:colOff>
      <xdr:row>11</xdr:row>
      <xdr:rowOff>154705</xdr:rowOff>
    </xdr:from>
    <xdr:to>
      <xdr:col>5</xdr:col>
      <xdr:colOff>465907</xdr:colOff>
      <xdr:row>16</xdr:row>
      <xdr:rowOff>137430</xdr:rowOff>
    </xdr:to>
    <xdr:sp>
      <xdr:nvSpPr>
        <xdr:cNvPr id="10" name="Straight Arrow Connector 19"/>
        <xdr:cNvSpPr/>
      </xdr:nvSpPr>
      <xdr:spPr>
        <a:xfrm>
          <a:off x="3910419" y="1970805"/>
          <a:ext cx="365489" cy="808226"/>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28029</xdr:rowOff>
    </xdr:from>
    <xdr:to>
      <xdr:col>11</xdr:col>
      <xdr:colOff>360172</xdr:colOff>
      <xdr:row>37</xdr:row>
      <xdr:rowOff>120600</xdr:rowOff>
    </xdr:to>
    <xdr:graphicFrame>
      <xdr:nvGraphicFramePr>
        <xdr:cNvPr id="12" name="Chart 1"/>
        <xdr:cNvGraphicFramePr/>
      </xdr:nvGraphicFramePr>
      <xdr:xfrm>
        <a:off x="-224243" y="28029"/>
        <a:ext cx="8742173" cy="6201272"/>
      </xdr:xfrm>
      <a:graphic xmlns:a="http://schemas.openxmlformats.org/drawingml/2006/main">
        <a:graphicData uri="http://schemas.openxmlformats.org/drawingml/2006/chart">
          <c:chart xmlns:c="http://schemas.openxmlformats.org/drawingml/2006/chart"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s>

</file>

<file path=xl/worksheets/_rels/sheet5.xml.rels><?xml version="1.0" encoding="UTF-8"?>
<Relationships xmlns="http://schemas.openxmlformats.org/package/2006/relationships"><Relationship Id="rId1" Type="http://schemas.openxmlformats.org/officeDocument/2006/relationships/drawing" Target="../drawings/drawing2.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52</v>
      </c>
      <c r="C11" s="3"/>
      <c r="D11" s="3"/>
    </row>
    <row r="12">
      <c r="B12" s="4"/>
      <c r="C12" t="s" s="4">
        <v>5</v>
      </c>
      <c r="D12" t="s" s="5">
        <v>52</v>
      </c>
    </row>
    <row r="13">
      <c r="B13" t="s" s="3">
        <v>90</v>
      </c>
      <c r="C13" s="3"/>
      <c r="D13" s="3"/>
    </row>
    <row r="14">
      <c r="B14" s="4"/>
      <c r="C14" t="s" s="4">
        <v>91</v>
      </c>
      <c r="D14" t="s" s="5">
        <v>90</v>
      </c>
    </row>
    <row r="15">
      <c r="B15" t="s" s="3">
        <v>92</v>
      </c>
      <c r="C15" s="3"/>
      <c r="D15" s="3"/>
    </row>
    <row r="16">
      <c r="B16" s="4"/>
      <c r="C16" t="s" s="4">
        <v>91</v>
      </c>
      <c r="D16" t="s" s="5">
        <v>92</v>
      </c>
    </row>
    <row r="17">
      <c r="B17" t="s" s="3">
        <v>93</v>
      </c>
      <c r="C17" s="3"/>
      <c r="D17" s="3"/>
    </row>
    <row r="18">
      <c r="B18" s="4"/>
      <c r="C18" t="s" s="4">
        <v>5</v>
      </c>
      <c r="D18" t="s" s="5">
        <v>93</v>
      </c>
    </row>
  </sheetData>
  <mergeCells count="1">
    <mergeCell ref="B3:D3"/>
  </mergeCells>
  <hyperlinks>
    <hyperlink ref="D10" location="'Data'!R1C1" tooltip="" display="Data"/>
    <hyperlink ref="D12" location="'Consumption'!R1C1" tooltip="" display="Consumption"/>
    <hyperlink ref="D14" location="'PDVPlot'!R1C1" tooltip="" display="PDVPlot"/>
    <hyperlink ref="D16" location="'ConsumptionPlot'!R1C1" tooltip="" display="ConsumptionPlot"/>
    <hyperlink ref="D18" location="'Calculations'!R1C1" tooltip="" display="Calculations"/>
  </hyperlinks>
</worksheet>
</file>

<file path=xl/worksheets/sheet2.xml><?xml version="1.0" encoding="utf-8"?>
<worksheet xmlns:r="http://schemas.openxmlformats.org/officeDocument/2006/relationships" xmlns="http://schemas.openxmlformats.org/spreadsheetml/2006/main">
  <dimension ref="A1:AB426"/>
  <sheetViews>
    <sheetView workbookViewId="0" showGridLines="0" defaultGridColor="1"/>
  </sheetViews>
  <sheetFormatPr defaultColWidth="9.66667" defaultRowHeight="12" customHeight="1" outlineLevelRow="0" outlineLevelCol="0"/>
  <cols>
    <col min="1" max="1" width="12.1719" style="6" customWidth="1"/>
    <col min="2" max="2" width="10.3516" style="6" customWidth="1"/>
    <col min="3" max="28" width="9.67188" style="6" customWidth="1"/>
    <col min="29" max="16384" width="9.67188" style="6" customWidth="1"/>
  </cols>
  <sheetData>
    <row r="1" ht="15" customHeight="1">
      <c r="A1" t="s" s="7">
        <v>6</v>
      </c>
      <c r="B1" s="8"/>
      <c r="C1" s="8"/>
      <c r="D1" s="8"/>
      <c r="E1" s="8"/>
      <c r="F1" s="8"/>
      <c r="G1" s="8"/>
      <c r="H1" s="8"/>
      <c r="I1" s="8"/>
      <c r="J1" s="8"/>
      <c r="K1" s="8"/>
      <c r="L1" s="8"/>
      <c r="M1" s="8"/>
      <c r="N1" s="8"/>
      <c r="O1" s="8"/>
      <c r="P1" s="8"/>
      <c r="Q1" s="8"/>
      <c r="R1" s="8"/>
      <c r="S1" s="8"/>
      <c r="T1" s="8"/>
      <c r="U1" s="8"/>
      <c r="V1" s="8"/>
      <c r="W1" s="8"/>
      <c r="X1" s="8"/>
      <c r="Y1" s="8"/>
      <c r="Z1" s="8"/>
      <c r="AA1" s="8"/>
      <c r="AB1" s="9"/>
    </row>
    <row r="2" ht="15" customHeight="1">
      <c r="A2" t="s" s="10">
        <v>7</v>
      </c>
      <c r="B2" s="11"/>
      <c r="C2" s="11"/>
      <c r="D2" s="11"/>
      <c r="E2" s="11"/>
      <c r="F2" s="11"/>
      <c r="G2" s="11"/>
      <c r="H2" s="11"/>
      <c r="I2" s="11"/>
      <c r="J2" s="11"/>
      <c r="K2" s="11"/>
      <c r="L2" s="11"/>
      <c r="M2" s="11"/>
      <c r="N2" s="11"/>
      <c r="O2" s="11"/>
      <c r="P2" s="11"/>
      <c r="Q2" s="11"/>
      <c r="R2" s="11"/>
      <c r="S2" s="11"/>
      <c r="T2" s="11"/>
      <c r="U2" t="s" s="12">
        <v>8</v>
      </c>
      <c r="V2" s="11"/>
      <c r="W2" s="11"/>
      <c r="X2" s="11"/>
      <c r="Y2" s="11"/>
      <c r="Z2" s="11"/>
      <c r="AA2" s="11"/>
      <c r="AB2" s="13"/>
    </row>
    <row r="3" ht="15" customHeight="1">
      <c r="A3" s="14"/>
      <c r="B3" t="s" s="12">
        <v>9</v>
      </c>
      <c r="C3" t="s" s="12">
        <v>10</v>
      </c>
      <c r="D3" t="s" s="12">
        <v>11</v>
      </c>
      <c r="E3" t="s" s="12">
        <v>12</v>
      </c>
      <c r="F3" t="s" s="12">
        <v>13</v>
      </c>
      <c r="G3" t="s" s="12">
        <v>14</v>
      </c>
      <c r="H3" t="s" s="12">
        <v>15</v>
      </c>
      <c r="I3" t="s" s="12">
        <v>16</v>
      </c>
      <c r="J3" s="15"/>
      <c r="K3" t="s" s="12">
        <v>17</v>
      </c>
      <c r="L3" t="s" s="12">
        <v>18</v>
      </c>
      <c r="M3" t="s" s="12">
        <v>19</v>
      </c>
      <c r="N3" t="s" s="12">
        <v>20</v>
      </c>
      <c r="O3" t="s" s="12">
        <v>21</v>
      </c>
      <c r="P3" t="s" s="12">
        <v>22</v>
      </c>
      <c r="Q3" t="s" s="12">
        <v>23</v>
      </c>
      <c r="R3" t="s" s="12">
        <v>24</v>
      </c>
      <c r="S3" t="s" s="12">
        <v>25</v>
      </c>
      <c r="T3" t="s" s="12">
        <v>26</v>
      </c>
      <c r="U3" t="s" s="12">
        <v>27</v>
      </c>
      <c r="V3" s="15"/>
      <c r="W3" s="15"/>
      <c r="X3" s="11"/>
      <c r="Y3" s="11"/>
      <c r="Z3" s="11"/>
      <c r="AA3" s="11"/>
      <c r="AB3" s="13"/>
    </row>
    <row r="4" ht="15" customHeight="1">
      <c r="A4" s="14"/>
      <c r="B4" t="s" s="12">
        <v>28</v>
      </c>
      <c r="C4" t="s" s="12">
        <v>29</v>
      </c>
      <c r="D4" t="s" s="12">
        <v>30</v>
      </c>
      <c r="E4" t="s" s="12">
        <v>31</v>
      </c>
      <c r="F4" t="s" s="12">
        <v>32</v>
      </c>
      <c r="G4" t="s" s="12">
        <v>33</v>
      </c>
      <c r="H4" t="s" s="12">
        <v>34</v>
      </c>
      <c r="I4" t="s" s="16">
        <v>35</v>
      </c>
      <c r="J4" s="15"/>
      <c r="K4" t="s" s="12">
        <v>17</v>
      </c>
      <c r="L4" t="s" s="12">
        <v>36</v>
      </c>
      <c r="M4" t="s" s="12">
        <v>36</v>
      </c>
      <c r="N4" t="s" s="12">
        <v>36</v>
      </c>
      <c r="O4" t="s" s="12">
        <v>21</v>
      </c>
      <c r="P4" t="s" s="12">
        <v>37</v>
      </c>
      <c r="Q4" s="15"/>
      <c r="R4" t="s" s="12">
        <v>24</v>
      </c>
      <c r="S4" t="s" s="12">
        <v>38</v>
      </c>
      <c r="T4" t="s" s="12">
        <v>39</v>
      </c>
      <c r="U4" t="s" s="12">
        <v>38</v>
      </c>
      <c r="V4" s="15"/>
      <c r="W4" s="15"/>
      <c r="X4" s="11"/>
      <c r="Y4" s="11"/>
      <c r="Z4" s="11"/>
      <c r="AA4" s="11"/>
      <c r="AB4" s="13"/>
    </row>
    <row r="5" ht="15" customHeight="1">
      <c r="A5" s="14"/>
      <c r="B5" t="s" s="12">
        <v>40</v>
      </c>
      <c r="C5" t="s" s="12">
        <v>41</v>
      </c>
      <c r="D5" t="s" s="12">
        <v>41</v>
      </c>
      <c r="E5" t="s" s="12">
        <v>42</v>
      </c>
      <c r="F5" t="s" s="12">
        <v>43</v>
      </c>
      <c r="G5" t="s" s="12">
        <v>38</v>
      </c>
      <c r="H5" t="s" s="12">
        <v>31</v>
      </c>
      <c r="I5" t="s" s="16">
        <v>44</v>
      </c>
      <c r="J5" s="15"/>
      <c r="K5" t="s" s="12">
        <v>45</v>
      </c>
      <c r="L5" t="s" s="12">
        <v>46</v>
      </c>
      <c r="M5" t="s" s="12">
        <v>46</v>
      </c>
      <c r="N5" t="s" s="12">
        <v>46</v>
      </c>
      <c r="O5" t="s" s="12">
        <v>28</v>
      </c>
      <c r="P5" t="s" s="12">
        <v>28</v>
      </c>
      <c r="Q5" s="15"/>
      <c r="R5" t="s" s="12">
        <v>30</v>
      </c>
      <c r="S5" t="s" s="12">
        <v>30</v>
      </c>
      <c r="T5" t="s" s="12">
        <v>47</v>
      </c>
      <c r="U5" t="s" s="12">
        <v>30</v>
      </c>
      <c r="V5" s="15"/>
      <c r="W5" s="15"/>
      <c r="X5" s="11"/>
      <c r="Y5" s="11"/>
      <c r="Z5" s="11"/>
      <c r="AA5" s="11"/>
      <c r="AB5" s="13"/>
    </row>
    <row r="6" ht="15" customHeight="1">
      <c r="A6" s="14"/>
      <c r="B6" t="s" s="12">
        <v>45</v>
      </c>
      <c r="C6" t="s" s="12">
        <v>48</v>
      </c>
      <c r="D6" t="s" s="12">
        <v>48</v>
      </c>
      <c r="E6" t="s" s="12">
        <v>49</v>
      </c>
      <c r="F6" t="s" s="12">
        <v>50</v>
      </c>
      <c r="G6" t="s" s="12">
        <v>51</v>
      </c>
      <c r="H6" t="s" s="12">
        <v>42</v>
      </c>
      <c r="I6" t="s" s="16">
        <v>52</v>
      </c>
      <c r="J6" s="15"/>
      <c r="K6" t="s" s="12">
        <v>38</v>
      </c>
      <c r="L6" t="s" s="12">
        <v>53</v>
      </c>
      <c r="M6" t="s" s="12">
        <v>53</v>
      </c>
      <c r="N6" t="s" s="12">
        <v>53</v>
      </c>
      <c r="O6" t="s" s="12">
        <v>54</v>
      </c>
      <c r="P6" t="s" s="12">
        <v>40</v>
      </c>
      <c r="Q6" s="15"/>
      <c r="R6" s="15"/>
      <c r="S6" t="s" s="12">
        <v>55</v>
      </c>
      <c r="T6" t="s" s="12">
        <v>56</v>
      </c>
      <c r="U6" t="s" s="12">
        <v>55</v>
      </c>
      <c r="V6" s="15"/>
      <c r="W6" s="15"/>
      <c r="X6" s="11"/>
      <c r="Y6" s="11"/>
      <c r="Z6" s="11"/>
      <c r="AA6" s="11"/>
      <c r="AB6" s="13"/>
    </row>
    <row r="7" ht="15" customHeight="1">
      <c r="A7" s="14"/>
      <c r="B7" t="s" s="12">
        <v>38</v>
      </c>
      <c r="C7" t="s" s="12">
        <v>51</v>
      </c>
      <c r="D7" t="s" s="12">
        <v>51</v>
      </c>
      <c r="E7" s="15"/>
      <c r="F7" t="s" s="12">
        <v>57</v>
      </c>
      <c r="G7" s="15"/>
      <c r="H7" t="s" s="12">
        <v>49</v>
      </c>
      <c r="I7" t="s" s="16">
        <v>58</v>
      </c>
      <c r="J7" s="15"/>
      <c r="K7" s="15"/>
      <c r="L7" t="s" s="12">
        <v>29</v>
      </c>
      <c r="M7" t="s" s="12">
        <v>29</v>
      </c>
      <c r="N7" t="s" s="12">
        <v>29</v>
      </c>
      <c r="O7" s="15"/>
      <c r="P7" s="15"/>
      <c r="Q7" s="15"/>
      <c r="R7" s="15"/>
      <c r="S7" t="s" s="12">
        <v>31</v>
      </c>
      <c r="T7" t="s" s="12">
        <v>34</v>
      </c>
      <c r="U7" t="s" s="12">
        <v>39</v>
      </c>
      <c r="V7" s="15"/>
      <c r="W7" s="15"/>
      <c r="X7" s="11"/>
      <c r="Y7" s="11"/>
      <c r="Z7" s="11"/>
      <c r="AA7" s="11"/>
      <c r="AB7" s="13"/>
    </row>
    <row r="8" ht="15" customHeight="1">
      <c r="A8" s="14"/>
      <c r="B8" t="s" s="12">
        <v>51</v>
      </c>
      <c r="C8" s="15"/>
      <c r="D8" s="15"/>
      <c r="E8" s="15"/>
      <c r="F8" t="s" s="12">
        <v>59</v>
      </c>
      <c r="G8" s="15"/>
      <c r="H8" s="15"/>
      <c r="I8" t="s" s="16">
        <v>52</v>
      </c>
      <c r="J8" s="15"/>
      <c r="K8" s="15"/>
      <c r="L8" t="s" s="12">
        <v>60</v>
      </c>
      <c r="M8" t="s" s="12">
        <v>61</v>
      </c>
      <c r="N8" t="s" s="12">
        <v>62</v>
      </c>
      <c r="O8" s="15"/>
      <c r="P8" s="15"/>
      <c r="Q8" s="15"/>
      <c r="R8" s="15"/>
      <c r="S8" t="s" s="12">
        <v>30</v>
      </c>
      <c r="T8" t="s" s="12">
        <v>30</v>
      </c>
      <c r="U8" t="s" s="12">
        <v>30</v>
      </c>
      <c r="V8" s="15"/>
      <c r="W8" s="15"/>
      <c r="X8" s="11"/>
      <c r="Y8" s="11"/>
      <c r="Z8" s="11"/>
      <c r="AA8" s="11"/>
      <c r="AB8" s="13"/>
    </row>
    <row r="9" ht="15" customHeight="1">
      <c r="A9" s="17">
        <v>1871</v>
      </c>
      <c r="B9" s="18">
        <v>4.44</v>
      </c>
      <c r="C9" s="18">
        <v>0.26</v>
      </c>
      <c r="D9" s="18">
        <v>0.4</v>
      </c>
      <c r="E9" s="18">
        <v>6.35</v>
      </c>
      <c r="F9" s="18">
        <v>5.32</v>
      </c>
      <c r="G9" s="18">
        <v>12.464061</v>
      </c>
      <c r="H9" s="19">
        <f>(1+E9/100)*G9/G10</f>
        <v>1.04750420830175</v>
      </c>
      <c r="I9" t="s" s="16">
        <v>63</v>
      </c>
      <c r="J9" s="19">
        <f>1871</f>
        <v>1871</v>
      </c>
      <c r="K9" s="19">
        <f>B9*$G$151/G9</f>
        <v>82.03130584806991</v>
      </c>
      <c r="L9" s="19">
        <f>O9+L10/(1+'Calculations'!$E$3)</f>
        <v>112.018599504995</v>
      </c>
      <c r="M9" s="19">
        <f>O9+M10/(H9+'Calculations'!$E$3-'Calculations'!$E$1+1)</f>
        <v>63.6503738431378</v>
      </c>
      <c r="N9" s="11"/>
      <c r="O9" s="19">
        <f>C9*$G$151/G10</f>
        <v>4.73138496104752</v>
      </c>
      <c r="P9" s="19">
        <f>(K10-K9+O9)/K9</f>
        <v>0.135808914663244</v>
      </c>
      <c r="Q9" s="19">
        <f>LN(1+P9)</f>
        <v>0.127345097227051</v>
      </c>
      <c r="R9" s="19">
        <f>D9*$G$151/G10</f>
        <v>7.27905378622695</v>
      </c>
      <c r="S9" s="11"/>
      <c r="T9" s="11"/>
      <c r="U9" s="11"/>
      <c r="V9" s="11"/>
      <c r="W9" s="11"/>
      <c r="X9" s="11"/>
      <c r="Y9" s="11"/>
      <c r="Z9" s="11"/>
      <c r="AA9" s="11"/>
      <c r="AB9" s="13"/>
    </row>
    <row r="10" ht="15" customHeight="1">
      <c r="A10" s="17">
        <v>1872</v>
      </c>
      <c r="B10" s="18">
        <v>4.86</v>
      </c>
      <c r="C10" s="18">
        <v>0.3</v>
      </c>
      <c r="D10" s="18">
        <v>0.43</v>
      </c>
      <c r="E10" s="18">
        <v>7.81</v>
      </c>
      <c r="F10" s="18">
        <v>5.36</v>
      </c>
      <c r="G10" s="18">
        <v>12.654392</v>
      </c>
      <c r="H10" s="19">
        <f>(1+E10/100)*G10/G11</f>
        <v>1.05432020857807</v>
      </c>
      <c r="I10" t="s" s="16">
        <v>64</v>
      </c>
      <c r="J10" s="19">
        <f>J9+1</f>
        <v>1872</v>
      </c>
      <c r="K10" s="19">
        <f>B10*$G$151/G10</f>
        <v>88.44050350265741</v>
      </c>
      <c r="L10" s="19">
        <f>O10+L11/(1+'Calculations'!$E$3)</f>
        <v>114.293957520462</v>
      </c>
      <c r="M10" s="19">
        <f>O10+M11/(H10+'Calculations'!$E$3-'Calculations'!$E$1+1)</f>
        <v>63.9620442377759</v>
      </c>
      <c r="N10" s="11"/>
      <c r="O10" s="19">
        <f>C10*$G$151/G11</f>
        <v>5.33887406512323</v>
      </c>
      <c r="P10" s="19">
        <f>(K11-K10+O10)/K10</f>
        <v>0.0886154174615553</v>
      </c>
      <c r="Q10" s="19">
        <f>LN(1+P10)</f>
        <v>0.08490662956837609</v>
      </c>
      <c r="R10" s="19">
        <f>D10*$G$151/G11</f>
        <v>7.65238616000996</v>
      </c>
      <c r="S10" s="19">
        <f>K10/R9</f>
        <v>12.15</v>
      </c>
      <c r="T10" s="11"/>
      <c r="U10" s="11"/>
      <c r="V10" s="11"/>
      <c r="W10" s="11"/>
      <c r="X10" s="11"/>
      <c r="Y10" s="11"/>
      <c r="Z10" s="11"/>
      <c r="AA10" s="11"/>
      <c r="AB10" s="13"/>
    </row>
    <row r="11" ht="15" customHeight="1">
      <c r="A11" s="17">
        <v>1873</v>
      </c>
      <c r="B11" s="18">
        <v>5.11</v>
      </c>
      <c r="C11" s="18">
        <v>0.33</v>
      </c>
      <c r="D11" s="18">
        <v>0.46</v>
      </c>
      <c r="E11" s="18">
        <v>8.35</v>
      </c>
      <c r="F11" s="18">
        <v>5.58</v>
      </c>
      <c r="G11" s="18">
        <v>12.939807</v>
      </c>
      <c r="H11" s="19">
        <f>(1+E11/100)*G11/G12</f>
        <v>1.1335110978781</v>
      </c>
      <c r="I11" t="s" s="16">
        <v>65</v>
      </c>
      <c r="J11" s="19">
        <f>J10+1</f>
        <v>1873</v>
      </c>
      <c r="K11" s="19">
        <f>B11*$G$151/G11</f>
        <v>90.93882157593229</v>
      </c>
      <c r="L11" s="19">
        <f>O11+L12/(1+'Calculations'!$E$3)</f>
        <v>116.070752074395</v>
      </c>
      <c r="M11" s="19">
        <f>O11+M12/(H11+'Calculations'!$E$3-'Calculations'!$E$1+1)</f>
        <v>64.04048104988679</v>
      </c>
      <c r="N11" s="11"/>
      <c r="O11" s="19">
        <f>C11*$G$151/G12</f>
        <v>6.14383045988906</v>
      </c>
      <c r="P11" s="19">
        <f>(K12-K11+O11)/K11</f>
        <v>0.0215897018543956</v>
      </c>
      <c r="Q11" s="19">
        <f>LN(1+P11)</f>
        <v>0.0213599452766099</v>
      </c>
      <c r="R11" s="19">
        <f>D11*$G$151/G12</f>
        <v>8.564127307724149</v>
      </c>
      <c r="S11" s="19">
        <f>K11/R10</f>
        <v>11.8837209302326</v>
      </c>
      <c r="T11" s="11"/>
      <c r="U11" s="11"/>
      <c r="V11" s="11"/>
      <c r="W11" s="11"/>
      <c r="X11" s="11"/>
      <c r="Y11" s="11"/>
      <c r="Z11" s="11"/>
      <c r="AA11" s="11"/>
      <c r="AB11" s="13"/>
    </row>
    <row r="12" ht="15" customHeight="1">
      <c r="A12" s="17">
        <v>1874</v>
      </c>
      <c r="B12" s="18">
        <v>4.66</v>
      </c>
      <c r="C12" s="18">
        <v>0.33</v>
      </c>
      <c r="D12" s="18">
        <v>0.46</v>
      </c>
      <c r="E12" s="18">
        <v>6.86</v>
      </c>
      <c r="F12" s="18">
        <v>5.47</v>
      </c>
      <c r="G12" s="18">
        <v>12.368896</v>
      </c>
      <c r="H12" s="19">
        <f>(1+E12/100)*G12/G13</f>
        <v>1.14807634363276</v>
      </c>
      <c r="I12" s="11"/>
      <c r="J12" s="19">
        <f>J11+1</f>
        <v>1874</v>
      </c>
      <c r="K12" s="19">
        <f>B12*$G$151/G12</f>
        <v>86.7583331608577</v>
      </c>
      <c r="L12" s="19">
        <f>O12+L13/(1+'Calculations'!$E$3)</f>
        <v>117.106059307906</v>
      </c>
      <c r="M12" s="19">
        <f>O12+M13/(H12+'Calculations'!$E$3-'Calculations'!$E$1+1)</f>
        <v>67.8317117377747</v>
      </c>
      <c r="N12" s="11"/>
      <c r="O12" s="19">
        <f>C12*$G$151/G13</f>
        <v>6.60077335793468</v>
      </c>
      <c r="P12" s="19">
        <f>(K13-K12+O12)/K12</f>
        <v>0.122790276614688</v>
      </c>
      <c r="Q12" s="19">
        <f>LN(1+P12)</f>
        <v>0.115816905523925</v>
      </c>
      <c r="R12" s="19">
        <f>D12*$G$151/G13</f>
        <v>9.20107801409076</v>
      </c>
      <c r="S12" s="19">
        <f>K12/R11</f>
        <v>10.1304347826087</v>
      </c>
      <c r="T12" s="11"/>
      <c r="U12" s="11"/>
      <c r="V12" s="11"/>
      <c r="W12" s="11"/>
      <c r="X12" s="11"/>
      <c r="Y12" s="11"/>
      <c r="Z12" s="11"/>
      <c r="AA12" s="11"/>
      <c r="AB12" s="13"/>
    </row>
    <row r="13" ht="15" customHeight="1">
      <c r="A13" s="17">
        <v>1875</v>
      </c>
      <c r="B13" s="18">
        <v>4.54</v>
      </c>
      <c r="C13" s="18">
        <v>0.3</v>
      </c>
      <c r="D13" s="18">
        <v>0.36</v>
      </c>
      <c r="E13" s="18">
        <v>4.96</v>
      </c>
      <c r="F13" s="18">
        <v>5.07</v>
      </c>
      <c r="G13" s="18">
        <v>11.512651</v>
      </c>
      <c r="H13" s="19">
        <f>(1+E13/100)*G13/G14</f>
        <v>1.1140547582624</v>
      </c>
      <c r="I13" s="11"/>
      <c r="J13" s="19">
        <f>J12+1</f>
        <v>1875</v>
      </c>
      <c r="K13" s="19">
        <f>B13*$G$151/G13</f>
        <v>90.810639530374</v>
      </c>
      <c r="L13" s="19">
        <f>O13+L14/(1+'Calculations'!$E$3)</f>
        <v>117.722195620793</v>
      </c>
      <c r="M13" s="19">
        <f>O13+M14/(H13+'Calculations'!$E$3-'Calculations'!$E$1+1)</f>
        <v>72.6300067419007</v>
      </c>
      <c r="N13" s="11"/>
      <c r="O13" s="19">
        <f>C13*$G$151/G14</f>
        <v>6.36919949384944</v>
      </c>
      <c r="P13" s="19">
        <f>(K14-K13+O13)/K13</f>
        <v>0.11284278830136</v>
      </c>
      <c r="Q13" s="19">
        <f>LN(1+P13)</f>
        <v>0.106917811913539</v>
      </c>
      <c r="R13" s="19">
        <f>D13*$G$151/G14</f>
        <v>7.64303939261933</v>
      </c>
      <c r="S13" s="19">
        <f>K13/R12</f>
        <v>9.869565217391299</v>
      </c>
      <c r="T13" s="11"/>
      <c r="U13" s="11"/>
      <c r="V13" s="11"/>
      <c r="W13" s="11"/>
      <c r="X13" s="11"/>
      <c r="Y13" s="11"/>
      <c r="Z13" s="11"/>
      <c r="AA13" s="11"/>
      <c r="AB13" s="13"/>
    </row>
    <row r="14" ht="15" customHeight="1">
      <c r="A14" s="17">
        <v>1876</v>
      </c>
      <c r="B14" s="18">
        <v>4.46</v>
      </c>
      <c r="C14" s="18">
        <v>0.3</v>
      </c>
      <c r="D14" s="18">
        <v>0.28</v>
      </c>
      <c r="E14" s="18">
        <v>5.33</v>
      </c>
      <c r="F14" s="18">
        <v>4.59</v>
      </c>
      <c r="G14" s="18">
        <v>10.846575</v>
      </c>
      <c r="H14" s="19">
        <f>(1+E14/100)*G14/G15</f>
        <v>1.04413899868759</v>
      </c>
      <c r="I14" s="11"/>
      <c r="J14" s="19">
        <f>J13+1</f>
        <v>1876</v>
      </c>
      <c r="K14" s="19">
        <f>B14*$G$151/G14</f>
        <v>94.6887658085617</v>
      </c>
      <c r="L14" s="19">
        <f>O14+L15/(1+'Calculations'!$E$3)</f>
        <v>118.625268287638</v>
      </c>
      <c r="M14" s="19">
        <f>O14+M15/(H14+'Calculations'!$E$3-'Calculations'!$E$1+1)</f>
        <v>76.3419643179508</v>
      </c>
      <c r="N14" s="11"/>
      <c r="O14" s="19">
        <f>C14*$G$151/G15</f>
        <v>6.31380383741526</v>
      </c>
      <c r="P14" s="19">
        <f>(K15-K14+O14)/K14</f>
        <v>-0.144279170238137</v>
      </c>
      <c r="Q14" s="19">
        <f>LN(1+P14)</f>
        <v>-0.155811089489244</v>
      </c>
      <c r="R14" s="19">
        <f>D14*$G$151/G15</f>
        <v>5.89288358158757</v>
      </c>
      <c r="S14" s="19">
        <f>K14/R13</f>
        <v>12.3888888888889</v>
      </c>
      <c r="T14" s="11"/>
      <c r="U14" s="11"/>
      <c r="V14" s="11"/>
      <c r="W14" s="11"/>
      <c r="X14" s="11"/>
      <c r="Y14" s="11"/>
      <c r="Z14" s="11"/>
      <c r="AA14" s="20"/>
      <c r="AB14" s="13"/>
    </row>
    <row r="15" ht="15" customHeight="1">
      <c r="A15" s="17">
        <v>1877</v>
      </c>
      <c r="B15" s="18">
        <v>3.55</v>
      </c>
      <c r="C15" s="18">
        <v>0.19</v>
      </c>
      <c r="D15" s="18">
        <v>0.3</v>
      </c>
      <c r="E15" s="18">
        <v>5.03</v>
      </c>
      <c r="F15" s="18">
        <v>4.45</v>
      </c>
      <c r="G15" s="18">
        <v>10.94174</v>
      </c>
      <c r="H15" s="19">
        <f>(1+E15/100)*G15/G16</f>
        <v>1.24520514954818</v>
      </c>
      <c r="I15" s="11"/>
      <c r="J15" s="19">
        <f>J14+1</f>
        <v>1877</v>
      </c>
      <c r="K15" s="19">
        <f>B15*$G$151/G15</f>
        <v>74.7133454094139</v>
      </c>
      <c r="L15" s="19">
        <f>O15+L16/(1+'Calculations'!$E$3)</f>
        <v>119.646332524334</v>
      </c>
      <c r="M15" s="19">
        <f>O15+M16/(H15+'Calculations'!$E$3-'Calculations'!$E$1+1)</f>
        <v>75.7864241631994</v>
      </c>
      <c r="N15" s="11"/>
      <c r="O15" s="19">
        <f>C15*$G$151/G16</f>
        <v>4.7407927887316</v>
      </c>
      <c r="P15" s="19">
        <f>(K16-K15+O15)/K15</f>
        <v>0.148834930984368</v>
      </c>
      <c r="Q15" s="19">
        <f>LN(1+P15)</f>
        <v>0.138748325347089</v>
      </c>
      <c r="R15" s="19">
        <f>D15*$G$151/G16</f>
        <v>7.48546229799727</v>
      </c>
      <c r="S15" s="19">
        <f>K15/R14</f>
        <v>12.6785714285714</v>
      </c>
      <c r="T15" s="11"/>
      <c r="U15" s="11"/>
      <c r="V15" s="11"/>
      <c r="W15" s="11"/>
      <c r="X15" s="11"/>
      <c r="Y15" s="11"/>
      <c r="Z15" s="11"/>
      <c r="AA15" s="11"/>
      <c r="AB15" s="13"/>
    </row>
    <row r="16" ht="15" customHeight="1">
      <c r="A16" s="17">
        <v>1878</v>
      </c>
      <c r="B16" s="18">
        <v>3.25</v>
      </c>
      <c r="C16" s="18">
        <v>0.18</v>
      </c>
      <c r="D16" s="18">
        <v>0.31</v>
      </c>
      <c r="E16" s="18">
        <v>4.9</v>
      </c>
      <c r="F16" s="18">
        <v>4.34</v>
      </c>
      <c r="G16" s="18">
        <v>9.2290893</v>
      </c>
      <c r="H16" s="19">
        <f>(1+E16/100)*G16/G17</f>
        <v>1.16956870698047</v>
      </c>
      <c r="I16" s="11"/>
      <c r="J16" s="19">
        <f>J15+1</f>
        <v>1878</v>
      </c>
      <c r="K16" s="19">
        <f>B16*$G$151/G16</f>
        <v>81.0925082283037</v>
      </c>
      <c r="L16" s="19">
        <f>O16+L17/(1+'Calculations'!$E$3)</f>
        <v>122.409822393396</v>
      </c>
      <c r="M16" s="19">
        <f>O16+M17/(H16+'Calculations'!$E$3-'Calculations'!$E$1+1)</f>
        <v>91.17243111686081</v>
      </c>
      <c r="N16" s="11"/>
      <c r="O16" s="19">
        <f>C16*$G$151/G17</f>
        <v>5.00749044481586</v>
      </c>
      <c r="P16" s="19">
        <f>(K17-K16+O16)/K16</f>
        <v>0.289896117400181</v>
      </c>
      <c r="Q16" s="19">
        <f>LN(1+P16)</f>
        <v>0.254561685983788</v>
      </c>
      <c r="R16" s="19">
        <f>D16*$G$151/G17</f>
        <v>8.624011321627311</v>
      </c>
      <c r="S16" s="19">
        <f>K16/R15</f>
        <v>10.8333333333333</v>
      </c>
      <c r="T16" s="11"/>
      <c r="U16" s="11"/>
      <c r="V16" s="11"/>
      <c r="W16" s="11"/>
      <c r="X16" s="11"/>
      <c r="Y16" s="11"/>
      <c r="Z16" s="11"/>
      <c r="AA16" s="11"/>
      <c r="AB16" s="13"/>
    </row>
    <row r="17" ht="15" customHeight="1">
      <c r="A17" s="17">
        <v>1879</v>
      </c>
      <c r="B17" s="18">
        <v>3.58</v>
      </c>
      <c r="C17" s="18">
        <v>0.2</v>
      </c>
      <c r="D17" s="18">
        <v>0.38</v>
      </c>
      <c r="E17" s="18">
        <v>4.25</v>
      </c>
      <c r="F17" s="18">
        <v>4.22</v>
      </c>
      <c r="G17" s="18">
        <v>8.277679300000001</v>
      </c>
      <c r="H17" s="19">
        <f>(1+E17/100)*G17/G18</f>
        <v>0.863783293642955</v>
      </c>
      <c r="I17" s="11"/>
      <c r="J17" s="19">
        <f>J16+1</f>
        <v>1879</v>
      </c>
      <c r="K17" s="19">
        <f>B17*$G$151/G17</f>
        <v>99.59342106911529</v>
      </c>
      <c r="L17" s="19">
        <f>O17+L18/(1+'Calculations'!$E$3)</f>
        <v>125.069675800351</v>
      </c>
      <c r="M17" s="19">
        <f>O17+M18/(H17+'Calculations'!$E$3-'Calculations'!$E$1+1)</f>
        <v>104.057740148330</v>
      </c>
      <c r="N17" s="11"/>
      <c r="O17" s="19">
        <f>C17*$G$151/G18</f>
        <v>4.61005764914326</v>
      </c>
      <c r="P17" s="19">
        <f>(K18-K17+O17)/K17</f>
        <v>0.228967026846209</v>
      </c>
      <c r="Q17" s="19">
        <f>LN(1+P17)</f>
        <v>0.206174000969478</v>
      </c>
      <c r="R17" s="19">
        <f>D17*$G$151/G18</f>
        <v>8.7591095333722</v>
      </c>
      <c r="S17" s="19">
        <f>K17/R16</f>
        <v>11.5483870967742</v>
      </c>
      <c r="T17" s="11"/>
      <c r="U17" s="11"/>
      <c r="V17" s="11"/>
      <c r="W17" s="11"/>
      <c r="X17" s="11"/>
      <c r="Y17" s="11"/>
      <c r="Z17" s="11"/>
      <c r="AA17" s="11"/>
      <c r="AB17" s="13"/>
    </row>
    <row r="18" ht="15" customHeight="1">
      <c r="A18" s="17">
        <v>1880</v>
      </c>
      <c r="B18" s="18">
        <v>5.11</v>
      </c>
      <c r="C18" s="18">
        <v>0.26</v>
      </c>
      <c r="D18" s="18">
        <v>0.49</v>
      </c>
      <c r="E18" s="18">
        <v>5.1</v>
      </c>
      <c r="F18" s="18">
        <v>4.02</v>
      </c>
      <c r="G18" s="18">
        <v>9.9903306</v>
      </c>
      <c r="H18" s="19">
        <f>(1+E18/100)*G18/G19</f>
        <v>1.11470108388205</v>
      </c>
      <c r="I18" s="11"/>
      <c r="J18" s="19">
        <f>J17+1</f>
        <v>1880</v>
      </c>
      <c r="K18" s="19">
        <f>B18*$G$151/G18</f>
        <v>117.786972935610</v>
      </c>
      <c r="L18" s="19">
        <f>O18+L19/(1+'Calculations'!$E$3)</f>
        <v>128.326628092909</v>
      </c>
      <c r="M18" s="19">
        <f>O18+M19/(H18+'Calculations'!$E$3-'Calculations'!$E$1+1)</f>
        <v>89.6890927480186</v>
      </c>
      <c r="N18" s="11"/>
      <c r="O18" s="19">
        <f>C18*$G$151/G19</f>
        <v>6.35631506730383</v>
      </c>
      <c r="P18" s="19">
        <f>(K19-K18+O18)/K18</f>
        <v>0.338734704444973</v>
      </c>
      <c r="Q18" s="19">
        <f>LN(1+P18)</f>
        <v>0.291724917463365</v>
      </c>
      <c r="R18" s="19">
        <f>D18*$G$151/G19</f>
        <v>11.9792091653034</v>
      </c>
      <c r="S18" s="19">
        <f>K18/R17</f>
        <v>13.4473684210526</v>
      </c>
      <c r="T18" s="19">
        <f>AVERAGE(R9:R18)</f>
        <v>8.30803605605589</v>
      </c>
      <c r="U18" s="11"/>
      <c r="V18" s="11"/>
      <c r="W18" s="11"/>
      <c r="X18" s="11"/>
      <c r="Y18" s="11"/>
      <c r="Z18" s="11"/>
      <c r="AA18" s="11"/>
      <c r="AB18" s="13"/>
    </row>
    <row r="19" ht="15" customHeight="1">
      <c r="A19" s="17">
        <v>1881</v>
      </c>
      <c r="B19" s="18">
        <v>6.19</v>
      </c>
      <c r="C19" s="18">
        <v>0.32</v>
      </c>
      <c r="D19" s="18">
        <v>0.44</v>
      </c>
      <c r="E19" s="18">
        <v>4.79</v>
      </c>
      <c r="F19" s="18">
        <v>3.7</v>
      </c>
      <c r="G19" s="18">
        <v>9.4194198</v>
      </c>
      <c r="H19" s="19">
        <f>(1+E19/100)*G19/G20</f>
        <v>0.969552816089064</v>
      </c>
      <c r="I19" s="11"/>
      <c r="J19" s="19">
        <f>J18+1</f>
        <v>1881</v>
      </c>
      <c r="K19" s="19">
        <f>B19*$G$151/G19</f>
        <v>151.329193333118</v>
      </c>
      <c r="L19" s="19">
        <f>O19+L20/(1+'Calculations'!$E$3)</f>
        <v>129.935983844521</v>
      </c>
      <c r="M19" s="19">
        <f>O19+M20/(H19+'Calculations'!$E$3-'Calculations'!$E$1+1)</f>
        <v>96.0651857243445</v>
      </c>
      <c r="N19" s="11"/>
      <c r="O19" s="19">
        <f>C19*$G$151/G20</f>
        <v>7.23825165167407</v>
      </c>
      <c r="P19" s="19">
        <f>(K20-K19+O19)/K19</f>
        <v>-0.06729227785585069</v>
      </c>
      <c r="Q19" s="19">
        <f>LN(1+P19)</f>
        <v>-0.0696633939395923</v>
      </c>
      <c r="R19" s="19">
        <f>D19*$G$151/G20</f>
        <v>9.95259602105185</v>
      </c>
      <c r="S19" s="19">
        <f>K19/R18</f>
        <v>12.6326530612245</v>
      </c>
      <c r="T19" s="19">
        <f>AVERAGE(R10:R19)</f>
        <v>8.575390279538381</v>
      </c>
      <c r="U19" s="19">
        <f>K19/T18</f>
        <v>18.2147973735395</v>
      </c>
      <c r="V19" s="11"/>
      <c r="W19" s="11"/>
      <c r="X19" s="11"/>
      <c r="Y19" s="11"/>
      <c r="Z19" s="11"/>
      <c r="AA19" s="11"/>
      <c r="AB19" s="13"/>
    </row>
    <row r="20" ht="15" customHeight="1">
      <c r="A20" s="17">
        <v>1882</v>
      </c>
      <c r="B20" s="18">
        <v>5.92</v>
      </c>
      <c r="C20" s="18">
        <v>0.32</v>
      </c>
      <c r="D20" s="18">
        <v>0.43</v>
      </c>
      <c r="E20" s="18">
        <v>5.26</v>
      </c>
      <c r="F20" s="18">
        <v>3.62</v>
      </c>
      <c r="G20" s="18">
        <v>10.18058</v>
      </c>
      <c r="H20" s="19">
        <f>(1+E20/100)*G20/G21</f>
        <v>1.07264503418936</v>
      </c>
      <c r="I20" s="11"/>
      <c r="J20" s="19">
        <f>J19+1</f>
        <v>1882</v>
      </c>
      <c r="K20" s="19">
        <f>B20*$G$151/G20</f>
        <v>133.907655555970</v>
      </c>
      <c r="L20" s="19">
        <f>O20+L21/(1+'Calculations'!$E$3)</f>
        <v>130.710909503219</v>
      </c>
      <c r="M20" s="19">
        <f>O20+M21/(H20+'Calculations'!$E$3-'Calculations'!$E$1+1)</f>
        <v>89.50571819206741</v>
      </c>
      <c r="N20" s="11"/>
      <c r="O20" s="19">
        <f>C20*$G$151/G21</f>
        <v>7.37609223862922</v>
      </c>
      <c r="P20" s="19">
        <f>(K21-K20+O20)/K20</f>
        <v>0.055191851127452</v>
      </c>
      <c r="Q20" s="19">
        <f>LN(1+P20)</f>
        <v>0.0537225998053373</v>
      </c>
      <c r="R20" s="19">
        <f>D20*$G$151/G21</f>
        <v>9.911623945658009</v>
      </c>
      <c r="S20" s="19">
        <f>K20/R19</f>
        <v>13.4545454545454</v>
      </c>
      <c r="T20" s="19">
        <f>AVERAGE(R11:R20)</f>
        <v>8.801314058103189</v>
      </c>
      <c r="U20" s="19">
        <f>K20/T19</f>
        <v>15.6153424148502</v>
      </c>
      <c r="V20" s="11"/>
      <c r="W20" s="11"/>
      <c r="X20" s="11"/>
      <c r="Y20" s="11"/>
      <c r="Z20" s="11"/>
      <c r="AA20" s="11"/>
      <c r="AB20" s="13"/>
    </row>
    <row r="21" ht="15" customHeight="1">
      <c r="A21" s="17">
        <v>1883</v>
      </c>
      <c r="B21" s="18">
        <v>5.81</v>
      </c>
      <c r="C21" s="18">
        <v>0.33</v>
      </c>
      <c r="D21" s="18">
        <v>0.4</v>
      </c>
      <c r="E21" s="18">
        <v>5.35</v>
      </c>
      <c r="F21" s="18">
        <v>3.63</v>
      </c>
      <c r="G21" s="18">
        <v>9.9903306</v>
      </c>
      <c r="H21" s="19">
        <f>(1+E21/100)*G21/G22</f>
        <v>1.14039564955775</v>
      </c>
      <c r="I21" s="11"/>
      <c r="J21" s="19">
        <f>J20+1</f>
        <v>1883</v>
      </c>
      <c r="K21" s="19">
        <f>B21*$G$151/G21</f>
        <v>133.922174707612</v>
      </c>
      <c r="L21" s="19">
        <f>O21+L22/(1+'Calculations'!$E$3)</f>
        <v>131.389601502412</v>
      </c>
      <c r="M21" s="19">
        <f>O21+M22/(H21+'Calculations'!$E$3-'Calculations'!$E$1+1)</f>
        <v>91.22415691622329</v>
      </c>
      <c r="N21" s="11"/>
      <c r="O21" s="19">
        <f>C21*$G$151/G22</f>
        <v>8.234008527797</v>
      </c>
      <c r="P21" s="19">
        <f>(K22-K21+O21)/K21</f>
        <v>0.0265886973040739</v>
      </c>
      <c r="Q21" s="19">
        <f>LN(1+P21)</f>
        <v>0.0262413612491242</v>
      </c>
      <c r="R21" s="19">
        <f>D21*$G$151/G22</f>
        <v>9.98061639732969</v>
      </c>
      <c r="S21" s="19">
        <f>K21/R20</f>
        <v>13.5116279069768</v>
      </c>
      <c r="T21" s="19">
        <f>AVERAGE(R12:R21)</f>
        <v>8.942962967063741</v>
      </c>
      <c r="U21" s="19">
        <f>K21/T20</f>
        <v>15.2161567947132</v>
      </c>
      <c r="V21" s="11"/>
      <c r="W21" s="11"/>
      <c r="X21" s="11"/>
      <c r="Y21" s="11"/>
      <c r="Z21" s="11"/>
      <c r="AA21" s="11"/>
      <c r="AB21" s="13"/>
    </row>
    <row r="22" ht="15" customHeight="1">
      <c r="A22" s="17">
        <v>1884</v>
      </c>
      <c r="B22" s="18">
        <v>5.18</v>
      </c>
      <c r="C22" s="18">
        <v>0.31</v>
      </c>
      <c r="D22" s="18">
        <v>0.31</v>
      </c>
      <c r="E22" s="18">
        <v>5.65</v>
      </c>
      <c r="F22" s="18">
        <v>3.62</v>
      </c>
      <c r="G22" s="18">
        <v>9.2290893</v>
      </c>
      <c r="H22" s="19">
        <f>(1+E22/100)*G22/G23</f>
        <v>1.1779307330075</v>
      </c>
      <c r="I22" s="11"/>
      <c r="J22" s="19">
        <f>J21+1</f>
        <v>1884</v>
      </c>
      <c r="K22" s="19">
        <f>B22*$G$151/G22</f>
        <v>129.248982345419</v>
      </c>
      <c r="L22" s="19">
        <f>O22+L23/(1+'Calculations'!$E$3)</f>
        <v>131.198672383112</v>
      </c>
      <c r="M22" s="19">
        <f>O22+M23/(H22+'Calculations'!$E$3-'Calculations'!$E$1+1)</f>
        <v>97.80260194971019</v>
      </c>
      <c r="N22" s="11"/>
      <c r="O22" s="19">
        <f>C22*$G$151/G23</f>
        <v>8.624011321627311</v>
      </c>
      <c r="P22" s="19">
        <f>(K23-K22+O22)/K22</f>
        <v>-0.0206636184560516</v>
      </c>
      <c r="Q22" s="19">
        <f>LN(1+P22)</f>
        <v>-0.0208800983849014</v>
      </c>
      <c r="R22" s="19">
        <f>D22*$G$151/G23</f>
        <v>8.624011321627311</v>
      </c>
      <c r="S22" s="19">
        <f>K22/R21</f>
        <v>12.95</v>
      </c>
      <c r="T22" s="19">
        <f>AVERAGE(R13:R22)</f>
        <v>8.88525629781739</v>
      </c>
      <c r="U22" s="19">
        <f>K22/T21</f>
        <v>14.4525905811567</v>
      </c>
      <c r="V22" s="11"/>
      <c r="W22" s="11"/>
      <c r="X22" s="11"/>
      <c r="Y22" s="11"/>
      <c r="Z22" s="11"/>
      <c r="AA22" s="11"/>
      <c r="AB22" s="13"/>
    </row>
    <row r="23" ht="15" customHeight="1">
      <c r="A23" s="17">
        <v>1885</v>
      </c>
      <c r="B23" s="18">
        <v>4.24</v>
      </c>
      <c r="C23" s="18">
        <v>0.24</v>
      </c>
      <c r="D23" s="18">
        <v>0.27</v>
      </c>
      <c r="E23" s="18">
        <v>4.22</v>
      </c>
      <c r="F23" s="18">
        <v>3.52</v>
      </c>
      <c r="G23" s="18">
        <v>8.277679300000001</v>
      </c>
      <c r="H23" s="19">
        <f>(1+E23/100)*G23/G24</f>
        <v>1.07942277683102</v>
      </c>
      <c r="I23" s="11"/>
      <c r="J23" s="19">
        <f>J22+1</f>
        <v>1885</v>
      </c>
      <c r="K23" s="19">
        <f>B23*$G$151/G23</f>
        <v>117.954219366773</v>
      </c>
      <c r="L23" s="19">
        <f>O23+L24/(1+'Calculations'!$E$3)</f>
        <v>130.579800808490</v>
      </c>
      <c r="M23" s="19">
        <f>O23+M24/(H23+'Calculations'!$E$3-'Calculations'!$E$1+1)</f>
        <v>108.442910931722</v>
      </c>
      <c r="N23" s="11"/>
      <c r="O23" s="19">
        <f>C23*$G$151/G24</f>
        <v>6.9151144897306</v>
      </c>
      <c r="P23" s="19">
        <f>(K24-K23+O23)/K23</f>
        <v>0.328842630149389</v>
      </c>
      <c r="Q23" s="19">
        <f>LN(1+P23)</f>
        <v>0.284308360492129</v>
      </c>
      <c r="R23" s="19">
        <f>D23*$G$151/G24</f>
        <v>7.77950380094692</v>
      </c>
      <c r="S23" s="19">
        <f>K23/R22</f>
        <v>13.6774193548386</v>
      </c>
      <c r="T23" s="19">
        <f>AVERAGE(R14:R23)</f>
        <v>8.89890273865015</v>
      </c>
      <c r="U23" s="19">
        <f>K23/T22</f>
        <v>13.2752748388077</v>
      </c>
      <c r="V23" s="11"/>
      <c r="W23" s="11"/>
      <c r="X23" s="11"/>
      <c r="Y23" s="11"/>
      <c r="Z23" s="11"/>
      <c r="AA23" s="11"/>
      <c r="AB23" s="13"/>
    </row>
    <row r="24" ht="15" customHeight="1">
      <c r="A24" s="17">
        <v>1886</v>
      </c>
      <c r="B24" s="18">
        <v>5.2</v>
      </c>
      <c r="C24" s="18">
        <v>0.22</v>
      </c>
      <c r="D24" s="18">
        <v>0.33</v>
      </c>
      <c r="E24" s="18">
        <v>4.26</v>
      </c>
      <c r="F24" s="18">
        <v>3.37</v>
      </c>
      <c r="G24" s="18">
        <v>7.9922321</v>
      </c>
      <c r="H24" s="19">
        <f>(1+E24/100)*G24/G25</f>
        <v>1.0426</v>
      </c>
      <c r="I24" s="11"/>
      <c r="J24" s="19">
        <f>J23+1</f>
        <v>1886</v>
      </c>
      <c r="K24" s="19">
        <f>B24*$G$151/G24</f>
        <v>149.827480610830</v>
      </c>
      <c r="L24" s="19">
        <f>O24+L25/(1+'Calculations'!$E$3)</f>
        <v>131.741013735685</v>
      </c>
      <c r="M24" s="19">
        <f>O24+M25/(H24+'Calculations'!$E$3-'Calculations'!$E$1+1)</f>
        <v>113.458491083961</v>
      </c>
      <c r="N24" s="11"/>
      <c r="O24" s="19">
        <f>C24*$G$151/G25</f>
        <v>6.33885494891971</v>
      </c>
      <c r="P24" s="19">
        <f>(K25-K24+O24)/K24</f>
        <v>0.11538461538461</v>
      </c>
      <c r="Q24" s="19">
        <f>LN(1+P24)</f>
        <v>0.109199291964987</v>
      </c>
      <c r="R24" s="19">
        <f>D24*$G$151/G25</f>
        <v>9.508282423379571</v>
      </c>
      <c r="S24" s="19">
        <f>K24/R23</f>
        <v>19.2592592592593</v>
      </c>
      <c r="T24" s="19">
        <f>AVERAGE(R15:R24)</f>
        <v>9.26044262282935</v>
      </c>
      <c r="U24" s="19">
        <f>K24/T23</f>
        <v>16.8366241334555</v>
      </c>
      <c r="V24" s="11"/>
      <c r="W24" s="11"/>
      <c r="X24" s="11"/>
      <c r="Y24" s="11"/>
      <c r="Z24" s="11"/>
      <c r="AA24" s="11"/>
      <c r="AB24" s="13"/>
    </row>
    <row r="25" ht="15" customHeight="1">
      <c r="A25" s="17">
        <v>1887</v>
      </c>
      <c r="B25" s="18">
        <v>5.58</v>
      </c>
      <c r="C25" s="18">
        <v>0.25</v>
      </c>
      <c r="D25" s="18">
        <v>0.36</v>
      </c>
      <c r="E25" s="18">
        <v>6.11</v>
      </c>
      <c r="F25" s="18">
        <v>3.52</v>
      </c>
      <c r="G25" s="18">
        <v>7.9922321</v>
      </c>
      <c r="H25" s="19">
        <f>(1+E25/100)*G25/G26</f>
        <v>1.01286455039545</v>
      </c>
      <c r="I25" s="11"/>
      <c r="J25" s="19">
        <f>J24+1</f>
        <v>1887</v>
      </c>
      <c r="K25" s="19">
        <f>B25*$G$151/G25</f>
        <v>160.776411886236</v>
      </c>
      <c r="L25" s="19">
        <f>O25+L26/(1+'Calculations'!$E$3)</f>
        <v>133.591957534491</v>
      </c>
      <c r="M25" s="19">
        <f>O25+M26/(H25+'Calculations'!$E$3-'Calculations'!$E$1+1)</f>
        <v>115.762994396796</v>
      </c>
      <c r="N25" s="11"/>
      <c r="O25" s="19">
        <f>C25*$G$151/G26</f>
        <v>6.87579941469354</v>
      </c>
      <c r="P25" s="19">
        <f>(K26-K25+O25)/K25</f>
        <v>-0.048879265380124</v>
      </c>
      <c r="Q25" s="19">
        <f>LN(1+P25)</f>
        <v>-0.0501142690586538</v>
      </c>
      <c r="R25" s="19">
        <f>D25*$G$151/G26</f>
        <v>9.901151157158701</v>
      </c>
      <c r="S25" s="19">
        <f>K25/R24</f>
        <v>16.9090909090909</v>
      </c>
      <c r="T25" s="19">
        <f>AVERAGE(R16:R25)</f>
        <v>9.5020115087455</v>
      </c>
      <c r="U25" s="19">
        <f>K25/T24</f>
        <v>17.3616336102425</v>
      </c>
      <c r="V25" s="11"/>
      <c r="W25" s="11"/>
      <c r="X25" s="11"/>
      <c r="Y25" s="11"/>
      <c r="Z25" s="11"/>
      <c r="AA25" s="11"/>
      <c r="AB25" s="13"/>
    </row>
    <row r="26" ht="15" customHeight="1">
      <c r="A26" s="17">
        <v>1888</v>
      </c>
      <c r="B26" s="18">
        <v>5.31</v>
      </c>
      <c r="C26" s="18">
        <v>0.23</v>
      </c>
      <c r="D26" s="18">
        <v>0.26</v>
      </c>
      <c r="E26" s="18">
        <v>5.02</v>
      </c>
      <c r="F26" s="18">
        <v>3.67</v>
      </c>
      <c r="G26" s="18">
        <v>8.372844600000001</v>
      </c>
      <c r="H26" s="19">
        <f>(1+E26/100)*G26/G27</f>
        <v>1.10021346839014</v>
      </c>
      <c r="I26" s="11"/>
      <c r="J26" s="19">
        <f>J25+1</f>
        <v>1888</v>
      </c>
      <c r="K26" s="19">
        <f>B26*$G$151/G26</f>
        <v>146.041979568091</v>
      </c>
      <c r="L26" s="19">
        <f>O26+L27/(1+'Calculations'!$E$3)</f>
        <v>134.991771898112</v>
      </c>
      <c r="M26" s="19">
        <f>O26+M27/(H26+'Calculations'!$E$3-'Calculations'!$E$1+1)</f>
        <v>114.435365802720</v>
      </c>
      <c r="N26" s="11"/>
      <c r="O26" s="19">
        <f>C26*$G$151/G27</f>
        <v>6.62698471932516</v>
      </c>
      <c r="P26" s="19">
        <f>(K27-K26+O26)/K26</f>
        <v>0.0791895924575102</v>
      </c>
      <c r="Q26" s="19">
        <f>LN(1+P26)</f>
        <v>0.0762103821079675</v>
      </c>
      <c r="R26" s="19">
        <f>D26*$G$151/G27</f>
        <v>7.49137403054148</v>
      </c>
      <c r="S26" s="19">
        <f>K26/R25</f>
        <v>14.75</v>
      </c>
      <c r="T26" s="19">
        <f>AVERAGE(R17:R26)</f>
        <v>9.38874777963691</v>
      </c>
      <c r="U26" s="19">
        <f>K26/T25</f>
        <v>15.3695856328606</v>
      </c>
      <c r="V26" s="11"/>
      <c r="W26" s="11"/>
      <c r="X26" s="11"/>
      <c r="Y26" s="11"/>
      <c r="Z26" s="11"/>
      <c r="AA26" s="11"/>
      <c r="AB26" s="13"/>
    </row>
    <row r="27" ht="15" customHeight="1">
      <c r="A27" s="17">
        <v>1889</v>
      </c>
      <c r="B27" s="18">
        <v>5.24</v>
      </c>
      <c r="C27" s="18">
        <v>0.22</v>
      </c>
      <c r="D27" s="18">
        <v>0.3</v>
      </c>
      <c r="E27" s="18">
        <v>4.68</v>
      </c>
      <c r="F27" s="18">
        <v>3.45</v>
      </c>
      <c r="G27" s="18">
        <v>7.9922321</v>
      </c>
      <c r="H27" s="19">
        <f>(1+E27/100)*G27/G28</f>
        <v>1.09913967062524</v>
      </c>
      <c r="I27" s="21">
        <f>'Consumption'!G5</f>
        <v>2731.570142112280</v>
      </c>
      <c r="J27" s="19">
        <f>J26+1</f>
        <v>1889</v>
      </c>
      <c r="K27" s="19">
        <f>B27*$G$151/G27</f>
        <v>150.979999692451</v>
      </c>
      <c r="L27" s="19">
        <f>O27+L28/(1+'Calculations'!$E$3)</f>
        <v>136.748070078059</v>
      </c>
      <c r="M27" s="19">
        <f>O27+M28/(H27+'Calculations'!$E$3-'Calculations'!$E$1+1)</f>
        <v>122.718528125918</v>
      </c>
      <c r="N27" s="21">
        <f>(I27/I28)^4*(O27+N28)</f>
        <v>108.810686306142</v>
      </c>
      <c r="O27" s="19">
        <f>C27*$G$151/G28</f>
        <v>6.65579570185021</v>
      </c>
      <c r="P27" s="19">
        <f>(K28-K27+O27)/K27</f>
        <v>0.122137068313858</v>
      </c>
      <c r="Q27" s="19">
        <f>LN(1+P27)</f>
        <v>0.115234963911658</v>
      </c>
      <c r="R27" s="19">
        <f>D27*$G$151/G28</f>
        <v>9.076085047977561</v>
      </c>
      <c r="S27" s="19">
        <f>K27/R26</f>
        <v>20.1538461538461</v>
      </c>
      <c r="T27" s="19">
        <f>AVERAGE(R18:R27)</f>
        <v>9.420445331097451</v>
      </c>
      <c r="U27" s="19">
        <f>K27/T26</f>
        <v>16.0809517132741</v>
      </c>
      <c r="V27" s="11"/>
      <c r="W27" s="11"/>
      <c r="X27" s="11"/>
      <c r="Y27" s="11"/>
      <c r="Z27" s="11"/>
      <c r="AA27" s="11"/>
      <c r="AB27" s="13"/>
    </row>
    <row r="28" ht="15" customHeight="1">
      <c r="A28" s="17">
        <v>1890</v>
      </c>
      <c r="B28" s="18">
        <v>5.38</v>
      </c>
      <c r="C28" s="18">
        <v>0.22</v>
      </c>
      <c r="D28" s="18">
        <v>0.29</v>
      </c>
      <c r="E28" s="18">
        <v>5.41</v>
      </c>
      <c r="F28" s="18">
        <v>3.42</v>
      </c>
      <c r="G28" s="18">
        <v>7.6116519</v>
      </c>
      <c r="H28" s="19">
        <f>(1+E28/100)*G28/G29</f>
        <v>1.02839040174741</v>
      </c>
      <c r="I28" s="21">
        <f>'Consumption'!G6</f>
        <v>2674.739801148980</v>
      </c>
      <c r="J28" s="19">
        <f>J27+1</f>
        <v>1890</v>
      </c>
      <c r="K28" s="19">
        <f>B28*$G$151/G28</f>
        <v>162.764458527064</v>
      </c>
      <c r="L28" s="19">
        <f>O28+L29/(1+'Calculations'!$E$3)</f>
        <v>138.588376485477</v>
      </c>
      <c r="M28" s="19">
        <f>O28+M29/(H28+'Calculations'!$E$3-'Calculations'!$E$1+1)</f>
        <v>131.989847337773</v>
      </c>
      <c r="N28" s="21">
        <f>(I28/I29)^4*(O28+N29)</f>
        <v>93.378353470194</v>
      </c>
      <c r="O28" s="19">
        <f>C28*$G$151/G29</f>
        <v>6.49346021798163</v>
      </c>
      <c r="P28" s="19">
        <f>(K29-K28+O28)/K28</f>
        <v>-0.0824189361417363</v>
      </c>
      <c r="Q28" s="19">
        <f>LN(1+P28)</f>
        <v>-0.08601434997727229</v>
      </c>
      <c r="R28" s="19">
        <f>D28*$G$151/G29</f>
        <v>8.55956119643032</v>
      </c>
      <c r="S28" s="19">
        <f>K28/R27</f>
        <v>17.9333333333333</v>
      </c>
      <c r="T28" s="19">
        <f>AVERAGE(R19:R28)</f>
        <v>9.07848053421014</v>
      </c>
      <c r="U28" s="19">
        <f>K28/T27</f>
        <v>17.2777881306491</v>
      </c>
      <c r="V28" s="11"/>
      <c r="W28" s="11"/>
      <c r="X28" s="11"/>
      <c r="Y28" s="11"/>
      <c r="Z28" s="11"/>
      <c r="AA28" s="11"/>
      <c r="AB28" s="13"/>
    </row>
    <row r="29" ht="15" customHeight="1">
      <c r="A29" s="17">
        <v>1891</v>
      </c>
      <c r="B29" s="18">
        <v>4.84</v>
      </c>
      <c r="C29" s="18">
        <v>0.22</v>
      </c>
      <c r="D29" s="18">
        <v>0.34</v>
      </c>
      <c r="E29" s="18">
        <v>5.97</v>
      </c>
      <c r="F29" s="18">
        <v>3.62</v>
      </c>
      <c r="G29" s="18">
        <v>7.801942</v>
      </c>
      <c r="H29" s="19">
        <f>(1+E29/100)*G29/G30</f>
        <v>1.12851186226138</v>
      </c>
      <c r="I29" s="21">
        <f>'Consumption'!G7</f>
        <v>2802.827499118440</v>
      </c>
      <c r="J29" s="19">
        <f>J28+1</f>
        <v>1891</v>
      </c>
      <c r="K29" s="19">
        <f>B29*$G$151/G29</f>
        <v>142.856124795596</v>
      </c>
      <c r="L29" s="19">
        <f>O29+L30/(1+'Calculations'!$E$3)</f>
        <v>140.721807465341</v>
      </c>
      <c r="M29" s="19">
        <f>O29+M30/(H29+'Calculations'!$E$3-'Calculations'!$E$1+1)</f>
        <v>133.839290700658</v>
      </c>
      <c r="N29" s="21">
        <f>(I29/I30)^4*(O29+N30)</f>
        <v>106.098020350083</v>
      </c>
      <c r="O29" s="19">
        <f>C29*$G$151/G30</f>
        <v>6.91511454479065</v>
      </c>
      <c r="P29" s="19">
        <f>(K30-K29+O29)/K29</f>
        <v>0.260760095590308</v>
      </c>
      <c r="Q29" s="19">
        <f>LN(1+P29)</f>
        <v>0.231714789549465</v>
      </c>
      <c r="R29" s="19">
        <f>D29*$G$151/G30</f>
        <v>10.6869952055856</v>
      </c>
      <c r="S29" s="19">
        <f>K29/R28</f>
        <v>16.6896551724138</v>
      </c>
      <c r="T29" s="19">
        <f>AVERAGE(R20:R29)</f>
        <v>9.15192045266352</v>
      </c>
      <c r="U29" s="19">
        <f>K29/T28</f>
        <v>15.7356866336031</v>
      </c>
      <c r="V29" s="11"/>
      <c r="W29" s="11"/>
      <c r="X29" s="11"/>
      <c r="Y29" s="11"/>
      <c r="Z29" s="11"/>
      <c r="AA29" s="11"/>
      <c r="AB29" s="13"/>
    </row>
    <row r="30" ht="15" customHeight="1">
      <c r="A30" s="17">
        <v>1892</v>
      </c>
      <c r="B30" s="18">
        <v>5.51</v>
      </c>
      <c r="C30" s="18">
        <v>0.24</v>
      </c>
      <c r="D30" s="18">
        <v>0.37</v>
      </c>
      <c r="E30" s="18">
        <v>3.93</v>
      </c>
      <c r="F30" s="18">
        <v>3.6</v>
      </c>
      <c r="G30" s="18">
        <v>7.3262127</v>
      </c>
      <c r="H30" s="19">
        <f>(1+E30/100)*G30/G31</f>
        <v>0.964169307748014</v>
      </c>
      <c r="I30" s="21">
        <f>'Consumption'!G8</f>
        <v>2877.010455735110</v>
      </c>
      <c r="J30" s="19">
        <f>J29+1</f>
        <v>1892</v>
      </c>
      <c r="K30" s="19">
        <f>B30*$G$151/G30</f>
        <v>173.192187008166</v>
      </c>
      <c r="L30" s="19">
        <f>O30+L31/(1+'Calculations'!$E$3)</f>
        <v>142.545377299831</v>
      </c>
      <c r="M30" s="19">
        <f>O30+M31/(H30+'Calculations'!$E$3-'Calculations'!$E$1+1)</f>
        <v>148.069831948234</v>
      </c>
      <c r="N30" s="21">
        <f>(I30/I31)^4*(O30+N31)</f>
        <v>110.869228055967</v>
      </c>
      <c r="O30" s="19">
        <f>C30*$G$151/G31</f>
        <v>6.9984250276662</v>
      </c>
      <c r="P30" s="19">
        <f>(K31-K30+O30)/K30</f>
        <v>-0.0150444255241141</v>
      </c>
      <c r="Q30" s="19">
        <f>LN(1+P30)</f>
        <v>-0.0151587408821146</v>
      </c>
      <c r="R30" s="19">
        <f>D30*$G$151/G31</f>
        <v>10.7892385843187</v>
      </c>
      <c r="S30" s="19">
        <f>K30/R29</f>
        <v>16.2058823529411</v>
      </c>
      <c r="T30" s="19">
        <f>AVERAGE(R21:R30)</f>
        <v>9.239681916529589</v>
      </c>
      <c r="U30" s="19">
        <f>K30/T29</f>
        <v>18.9241359673052</v>
      </c>
      <c r="V30" s="11"/>
      <c r="W30" s="11"/>
      <c r="X30" s="11"/>
      <c r="Y30" s="11"/>
      <c r="Z30" s="11"/>
      <c r="AA30" s="11"/>
      <c r="AB30" s="13"/>
    </row>
    <row r="31" ht="15" customHeight="1">
      <c r="A31" s="17">
        <v>1893</v>
      </c>
      <c r="B31" s="18">
        <v>5.61</v>
      </c>
      <c r="C31" s="18">
        <v>0.25</v>
      </c>
      <c r="D31" s="18">
        <v>0.26</v>
      </c>
      <c r="E31" s="18">
        <v>8.52</v>
      </c>
      <c r="F31" s="18">
        <v>3.75</v>
      </c>
      <c r="G31" s="18">
        <v>7.8970911</v>
      </c>
      <c r="H31" s="19">
        <f>(1+E31/100)*G31/G32</f>
        <v>1.25099538765694</v>
      </c>
      <c r="I31" s="21">
        <f>'Consumption'!G9</f>
        <v>2834.846162332370</v>
      </c>
      <c r="J31" s="19">
        <f>J30+1</f>
        <v>1893</v>
      </c>
      <c r="K31" s="19">
        <f>B31*$G$151/G31</f>
        <v>163.588185021697</v>
      </c>
      <c r="L31" s="19">
        <f>O31+L32/(1+'Calculations'!$E$3)</f>
        <v>144.399289988808</v>
      </c>
      <c r="M31" s="19">
        <f>O31+M32/(H31+'Calculations'!$E$3-'Calculations'!$E$1+1)</f>
        <v>141.389965789867</v>
      </c>
      <c r="N31" s="21">
        <f>(I31/I32)^4*(O31+N32)</f>
        <v>97.51287437618291</v>
      </c>
      <c r="O31" s="19">
        <f>C31*$G$151/G32</f>
        <v>8.403786389676</v>
      </c>
      <c r="P31" s="19">
        <f>(K32-K31+O31)/K31</f>
        <v>-0.0609271984837906</v>
      </c>
      <c r="Q31" s="19">
        <f>LN(1+P31)</f>
        <v>-0.0628622718780576</v>
      </c>
      <c r="R31" s="19">
        <f>D31*$G$151/G32</f>
        <v>8.739937845263039</v>
      </c>
      <c r="S31" s="19">
        <f>K31/R30</f>
        <v>15.1621621621622</v>
      </c>
      <c r="T31" s="19">
        <f>AVERAGE(R22:R31)</f>
        <v>9.115614061322921</v>
      </c>
      <c r="U31" s="19">
        <f>K31/T30</f>
        <v>17.7049585147559</v>
      </c>
      <c r="V31" s="11"/>
      <c r="W31" s="11"/>
      <c r="X31" s="11"/>
      <c r="Y31" s="11"/>
      <c r="Z31" s="11"/>
      <c r="AA31" s="11"/>
      <c r="AB31" s="13"/>
    </row>
    <row r="32" ht="15" customHeight="1">
      <c r="A32" s="17">
        <v>1894</v>
      </c>
      <c r="B32" s="18">
        <v>4.32</v>
      </c>
      <c r="C32" s="18">
        <v>0.21</v>
      </c>
      <c r="D32" s="18">
        <v>0.16</v>
      </c>
      <c r="E32" s="18">
        <v>3.32</v>
      </c>
      <c r="F32" s="18">
        <v>3.7</v>
      </c>
      <c r="G32" s="18">
        <v>6.8504835</v>
      </c>
      <c r="H32" s="19">
        <f>(1+E32/100)*G32/G33</f>
        <v>1.078120801016</v>
      </c>
      <c r="I32" s="21">
        <f>'Consumption'!G10</f>
        <v>2698.707528644990</v>
      </c>
      <c r="J32" s="19">
        <f>J31+1</f>
        <v>1894</v>
      </c>
      <c r="K32" s="19">
        <f>B32*$G$151/G32</f>
        <v>145.217428813601</v>
      </c>
      <c r="L32" s="19">
        <f>O32+L33/(1+'Calculations'!$E$3)</f>
        <v>144.877135429461</v>
      </c>
      <c r="M32" s="19">
        <f>O32+M33/(H32+'Calculations'!$E$3-'Calculations'!$E$1+1)</f>
        <v>171.430385219976</v>
      </c>
      <c r="N32" s="21">
        <f>(I32/I33)^4*(O32+N33)</f>
        <v>71.6841781599358</v>
      </c>
      <c r="O32" s="19">
        <f>C32*$G$151/G33</f>
        <v>7.36609505203645</v>
      </c>
      <c r="P32" s="19">
        <f>(K33-K32+O32)/K32</f>
        <v>0.0772937485955555</v>
      </c>
      <c r="Q32" s="19">
        <f>LN(1+P32)</f>
        <v>0.0744521080566133</v>
      </c>
      <c r="R32" s="19">
        <f>D32*$G$151/G33</f>
        <v>5.61226289678967</v>
      </c>
      <c r="S32" s="19">
        <f>K32/R31</f>
        <v>16.6153846153846</v>
      </c>
      <c r="T32" s="19">
        <f>AVERAGE(R23:R32)</f>
        <v>8.81443921883916</v>
      </c>
      <c r="U32" s="19">
        <f>K32/T31</f>
        <v>15.930624951505</v>
      </c>
      <c r="V32" s="11"/>
      <c r="W32" s="11"/>
      <c r="X32" s="11"/>
      <c r="Y32" s="11"/>
      <c r="Z32" s="11"/>
      <c r="AA32" s="11"/>
      <c r="AB32" s="13"/>
    </row>
    <row r="33" ht="15" customHeight="1">
      <c r="A33" s="17">
        <v>1895</v>
      </c>
      <c r="B33" s="18">
        <v>4.25</v>
      </c>
      <c r="C33" s="18">
        <v>0.19</v>
      </c>
      <c r="D33" s="18">
        <v>0.25</v>
      </c>
      <c r="E33" s="18">
        <v>3.09</v>
      </c>
      <c r="F33" s="18">
        <v>3.46</v>
      </c>
      <c r="G33" s="18">
        <v>6.5650524</v>
      </c>
      <c r="H33" s="19">
        <f>(1+E33/100)*G33/G34</f>
        <v>1.01617357225092</v>
      </c>
      <c r="I33" s="21">
        <f>'Consumption'!G11</f>
        <v>2979.457335912230</v>
      </c>
      <c r="J33" s="19">
        <f>J32+1</f>
        <v>1895</v>
      </c>
      <c r="K33" s="19">
        <f>B33*$G$151/G33</f>
        <v>149.075733195976</v>
      </c>
      <c r="L33" s="19">
        <f>O33+L34/(1+'Calculations'!$E$3)</f>
        <v>146.491649301362</v>
      </c>
      <c r="M33" s="19">
        <f>O33+M34/(H33+'Calculations'!$E$3-'Calculations'!$E$1+1)</f>
        <v>183.130141024049</v>
      </c>
      <c r="N33" s="21">
        <f>(I33/I34)^4*(O33+N34)</f>
        <v>99.1336852626068</v>
      </c>
      <c r="O33" s="19">
        <f>C33*$G$151/G34</f>
        <v>6.56935878168343</v>
      </c>
      <c r="P33" s="19">
        <f>(K34-K33+O33)/K33</f>
        <v>0.0344208960164077</v>
      </c>
      <c r="Q33" s="19">
        <f>LN(1+P33)</f>
        <v>0.0338417493700865</v>
      </c>
      <c r="R33" s="19">
        <f>D33*$G$151/G34</f>
        <v>8.643893133793981</v>
      </c>
      <c r="S33" s="19">
        <f>K33/R32</f>
        <v>26.5625000000001</v>
      </c>
      <c r="T33" s="19">
        <f>AVERAGE(R24:R33)</f>
        <v>8.900878152123861</v>
      </c>
      <c r="U33" s="19">
        <f>K33/T32</f>
        <v>16.9126735683145</v>
      </c>
      <c r="V33" s="11"/>
      <c r="W33" s="11"/>
      <c r="X33" s="11"/>
      <c r="Y33" s="11"/>
      <c r="Z33" s="11"/>
      <c r="AA33" s="11"/>
      <c r="AB33" s="13"/>
    </row>
    <row r="34" ht="15" customHeight="1">
      <c r="A34" s="17">
        <v>1896</v>
      </c>
      <c r="B34" s="18">
        <v>4.27</v>
      </c>
      <c r="C34" s="18">
        <v>0.18</v>
      </c>
      <c r="D34" s="18">
        <v>0.21</v>
      </c>
      <c r="E34" s="18">
        <v>5.76</v>
      </c>
      <c r="F34" s="18">
        <v>3.6</v>
      </c>
      <c r="G34" s="18">
        <v>6.6601934</v>
      </c>
      <c r="H34" s="19">
        <f>(1+E34/100)*G34/G35</f>
        <v>1.08870569052245</v>
      </c>
      <c r="I34" s="21">
        <f>'Consumption'!G12</f>
        <v>2916.275277401710</v>
      </c>
      <c r="J34" s="19">
        <f>J33+1</f>
        <v>1896</v>
      </c>
      <c r="K34" s="19">
        <f>B34*$G$151/G34</f>
        <v>147.637694725201</v>
      </c>
      <c r="L34" s="19">
        <f>O34+L35/(1+'Calculations'!$E$3)</f>
        <v>149.060374032463</v>
      </c>
      <c r="M34" s="19">
        <f>O34+M35/(H34+'Calculations'!$E$3-'Calculations'!$E$1+1)</f>
        <v>186.141394680661</v>
      </c>
      <c r="N34" s="21">
        <f>(I34/I35)^4*(O34+N35)</f>
        <v>84.4191677239257</v>
      </c>
      <c r="O34" s="19">
        <f>C34*$G$151/G35</f>
        <v>6.40664907619253</v>
      </c>
      <c r="P34" s="19">
        <f>(K35-K34+O34)/K34</f>
        <v>0.0607519828153177</v>
      </c>
      <c r="Q34" s="19">
        <f>LN(1+P34)</f>
        <v>0.0589780743564505</v>
      </c>
      <c r="R34" s="19">
        <f>D34*$G$151/G35</f>
        <v>7.47442392222462</v>
      </c>
      <c r="S34" s="19">
        <f>K34/R33</f>
        <v>17.08</v>
      </c>
      <c r="T34" s="19">
        <f>AVERAGE(R25:R34)</f>
        <v>8.697492302008371</v>
      </c>
      <c r="U34" s="19">
        <f>K34/T33</f>
        <v>16.5868684192663</v>
      </c>
      <c r="V34" s="11"/>
      <c r="W34" s="11"/>
      <c r="X34" s="11"/>
      <c r="Y34" s="11"/>
      <c r="Z34" s="11"/>
      <c r="AA34" s="11"/>
      <c r="AB34" s="13"/>
    </row>
    <row r="35" ht="15" customHeight="1">
      <c r="A35" s="17">
        <v>1897</v>
      </c>
      <c r="B35" s="18">
        <v>4.22</v>
      </c>
      <c r="C35" s="18">
        <v>0.18</v>
      </c>
      <c r="D35" s="18">
        <v>0.31</v>
      </c>
      <c r="E35" s="18">
        <v>3.44</v>
      </c>
      <c r="F35" s="18">
        <v>3.4</v>
      </c>
      <c r="G35" s="18">
        <v>6.4699033</v>
      </c>
      <c r="H35" s="19">
        <f>(1+E35/100)*G35/G36</f>
        <v>1.00484589134003</v>
      </c>
      <c r="I35" s="21">
        <f>'Consumption'!G13</f>
        <v>3089.2463215432</v>
      </c>
      <c r="J35" s="19">
        <f>J34+1</f>
        <v>1897</v>
      </c>
      <c r="K35" s="19">
        <f>B35*$G$151/G35</f>
        <v>150.200328341847</v>
      </c>
      <c r="L35" s="19">
        <f>O35+L36/(1+'Calculations'!$E$3)</f>
        <v>151.970193742042</v>
      </c>
      <c r="M35" s="19">
        <f>O35+M36/(H35+'Calculations'!$E$3-'Calculations'!$E$1+1)</f>
        <v>202.524126749638</v>
      </c>
      <c r="N35" s="21">
        <f>(I35/I36)^4*(O35+N36)</f>
        <v>99.89430304960661</v>
      </c>
      <c r="O35" s="19">
        <f>C35*$G$151/G36</f>
        <v>6.22360305633167</v>
      </c>
      <c r="P35" s="19">
        <f>(K36-K35+O35)/K35</f>
        <v>0.164793705575726</v>
      </c>
      <c r="Q35" s="19">
        <f>LN(1+P35)</f>
        <v>0.15254399457869</v>
      </c>
      <c r="R35" s="19">
        <f>D35*$G$151/G36</f>
        <v>10.7184274859045</v>
      </c>
      <c r="S35" s="19">
        <f>K35/R34</f>
        <v>20.0952380952381</v>
      </c>
      <c r="T35" s="19">
        <f>AVERAGE(R26:R35)</f>
        <v>8.779219934882949</v>
      </c>
      <c r="U35" s="19">
        <f>K35/T34</f>
        <v>17.2693833034108</v>
      </c>
      <c r="V35" s="11"/>
      <c r="W35" s="11"/>
      <c r="X35" s="11"/>
      <c r="Y35" s="11"/>
      <c r="Z35" s="11"/>
      <c r="AA35" s="11"/>
      <c r="AB35" s="13"/>
    </row>
    <row r="36" ht="15" customHeight="1">
      <c r="A36" s="17">
        <v>1898</v>
      </c>
      <c r="B36" s="18">
        <v>4.88</v>
      </c>
      <c r="C36" s="18">
        <v>0.2</v>
      </c>
      <c r="D36" s="18">
        <v>0.35</v>
      </c>
      <c r="E36" s="18">
        <v>3.55</v>
      </c>
      <c r="F36" s="18">
        <v>3.35</v>
      </c>
      <c r="G36" s="18">
        <v>6.6601934</v>
      </c>
      <c r="H36" s="19">
        <f>(1+E36/100)*G36/G37</f>
        <v>1.02091496703535</v>
      </c>
      <c r="I36" s="21">
        <f>'Consumption'!G14</f>
        <v>3085.275476485820</v>
      </c>
      <c r="J36" s="19">
        <f>J35+1</f>
        <v>1898</v>
      </c>
      <c r="K36" s="19">
        <f>B36*$G$151/G36</f>
        <v>168.728793971659</v>
      </c>
      <c r="L36" s="19">
        <f>O36+L37/(1+'Calculations'!$E$3)</f>
        <v>155.265049198955</v>
      </c>
      <c r="M36" s="19">
        <f>O36+M37/(H36+'Calculations'!$E$3-'Calculations'!$E$1+1)</f>
        <v>204.728632255512</v>
      </c>
      <c r="N36" s="21">
        <f>(I36/I37)^4*(O36+N37)</f>
        <v>93.15808219854689</v>
      </c>
      <c r="O36" s="19">
        <f>C36*$G$151/G37</f>
        <v>6.81771501592998</v>
      </c>
      <c r="P36" s="19">
        <f>(K37-K36+O36)/K36</f>
        <v>0.268759447994157</v>
      </c>
      <c r="Q36" s="19">
        <f>LN(1+P36)</f>
        <v>0.238039610475136</v>
      </c>
      <c r="R36" s="19">
        <f>D36*$G$151/G37</f>
        <v>11.9310012778775</v>
      </c>
      <c r="S36" s="19">
        <f>K36/R35</f>
        <v>15.7419354838711</v>
      </c>
      <c r="T36" s="19">
        <f>AVERAGE(R27:R36)</f>
        <v>9.223182659616549</v>
      </c>
      <c r="U36" s="19">
        <f>K36/T35</f>
        <v>19.2191100374692</v>
      </c>
      <c r="V36" s="11"/>
      <c r="W36" s="11"/>
      <c r="X36" s="15"/>
      <c r="Y36" s="11"/>
      <c r="Z36" s="11"/>
      <c r="AA36" s="11"/>
      <c r="AB36" s="13"/>
    </row>
    <row r="37" ht="15" customHeight="1">
      <c r="A37" s="17">
        <v>1899</v>
      </c>
      <c r="B37" s="18">
        <v>6.08</v>
      </c>
      <c r="C37" s="18">
        <v>0.21</v>
      </c>
      <c r="D37" s="18">
        <v>0.48</v>
      </c>
      <c r="E37" s="18">
        <v>3.36</v>
      </c>
      <c r="F37" s="18">
        <v>3.1</v>
      </c>
      <c r="G37" s="18">
        <v>6.7553425</v>
      </c>
      <c r="H37" s="19">
        <f>(1+E37/100)*G37/G38</f>
        <v>0.884163791399089</v>
      </c>
      <c r="I37" s="21">
        <f>'Consumption'!G15</f>
        <v>3389.813051786070</v>
      </c>
      <c r="J37" s="19">
        <f>J36+1</f>
        <v>1899</v>
      </c>
      <c r="K37" s="19">
        <f>B37*$G$151/G37</f>
        <v>207.258536484272</v>
      </c>
      <c r="L37" s="19">
        <f>O37+L38/(1+'Calculations'!$E$3)</f>
        <v>158.142173596935</v>
      </c>
      <c r="M37" s="19">
        <f>O37+M38/(H37+'Calculations'!$E$3-'Calculations'!$E$1+1)</f>
        <v>209.588413112283</v>
      </c>
      <c r="N37" s="21">
        <f>(I37/I38)^4*(O37+N38)</f>
        <v>128.934755140379</v>
      </c>
      <c r="O37" s="19">
        <f>C37*$G$151/G38</f>
        <v>6.12362189920792</v>
      </c>
      <c r="P37" s="19">
        <f>(K38-K37+O37)/K37</f>
        <v>-0.112218675571802</v>
      </c>
      <c r="Q37" s="19">
        <f>LN(1+P37)</f>
        <v>-0.119029822590574</v>
      </c>
      <c r="R37" s="19">
        <f>D37*$G$151/G38</f>
        <v>13.9968500553324</v>
      </c>
      <c r="S37" s="19">
        <f>K37/R36</f>
        <v>17.3714285714286</v>
      </c>
      <c r="T37" s="19">
        <f>AVERAGE(R28:R37)</f>
        <v>9.71525916035203</v>
      </c>
      <c r="U37" s="19">
        <f>K37/T36</f>
        <v>22.4714769438263</v>
      </c>
      <c r="V37" s="11"/>
      <c r="W37" s="11"/>
      <c r="X37" s="11"/>
      <c r="Y37" s="22"/>
      <c r="Z37" s="11"/>
      <c r="AA37" s="11"/>
      <c r="AB37" s="13"/>
    </row>
    <row r="38" ht="15" customHeight="1">
      <c r="A38" s="17">
        <v>1900</v>
      </c>
      <c r="B38" s="18">
        <v>6.1</v>
      </c>
      <c r="C38" s="18">
        <v>0.3</v>
      </c>
      <c r="D38" s="18">
        <v>0.48</v>
      </c>
      <c r="E38" s="18">
        <v>4.64</v>
      </c>
      <c r="F38" s="18">
        <v>3.15</v>
      </c>
      <c r="G38" s="18">
        <v>7.8970911</v>
      </c>
      <c r="H38" s="19">
        <f>(1+E38/100)*G38/G39</f>
        <v>1.07223798981805</v>
      </c>
      <c r="I38" s="21">
        <f>'Consumption'!G16</f>
        <v>3362.0541357981</v>
      </c>
      <c r="J38" s="19">
        <f>J37+1</f>
        <v>1900</v>
      </c>
      <c r="K38" s="19">
        <f>B38*$G$151/G38</f>
        <v>177.876636119849</v>
      </c>
      <c r="L38" s="19">
        <f>O38+L39/(1+'Calculations'!$E$3)</f>
        <v>161.946621169339</v>
      </c>
      <c r="M38" s="19">
        <f>O38+M39/(H38+'Calculations'!$E$3-'Calculations'!$E$1+1)</f>
        <v>187.645937347374</v>
      </c>
      <c r="N38" s="21">
        <f>(I38/I39)^4*(O38+N39)</f>
        <v>118.639380787363</v>
      </c>
      <c r="O38" s="19">
        <f>C38*$G$151/G39</f>
        <v>8.96404002240673</v>
      </c>
      <c r="P38" s="19">
        <f>(K39-K38+O38)/K38</f>
        <v>0.238029839223793</v>
      </c>
      <c r="Q38" s="19">
        <f>LN(1+P38)</f>
        <v>0.213521276737521</v>
      </c>
      <c r="R38" s="19">
        <f>D38*$G$151/G39</f>
        <v>14.3424640358508</v>
      </c>
      <c r="S38" s="19">
        <f>K38/R37</f>
        <v>12.7083333333333</v>
      </c>
      <c r="T38" s="19">
        <f>AVERAGE(R29:R38)</f>
        <v>10.2935494442941</v>
      </c>
      <c r="U38" s="19">
        <f>K38/T37</f>
        <v>18.3089954867868</v>
      </c>
      <c r="V38" s="11"/>
      <c r="W38" s="11"/>
      <c r="X38" s="22"/>
      <c r="Y38" s="11"/>
      <c r="Z38" s="11"/>
      <c r="AA38" s="11"/>
      <c r="AB38" s="13"/>
    </row>
    <row r="39" ht="15" customHeight="1">
      <c r="A39" s="17">
        <v>1901</v>
      </c>
      <c r="B39" s="18">
        <v>7.07</v>
      </c>
      <c r="C39" s="18">
        <v>0.32</v>
      </c>
      <c r="D39" s="18">
        <v>0.5</v>
      </c>
      <c r="E39" s="18">
        <v>4.3</v>
      </c>
      <c r="F39" s="18">
        <v>3.1</v>
      </c>
      <c r="G39" s="18">
        <v>7.7067929</v>
      </c>
      <c r="H39" s="19">
        <f>(1+E39/100)*G39/G40</f>
        <v>1.01786656541166</v>
      </c>
      <c r="I39" s="21">
        <f>'Consumption'!G17</f>
        <v>3702.785787360830</v>
      </c>
      <c r="J39" s="19">
        <f>J38+1</f>
        <v>1901</v>
      </c>
      <c r="K39" s="19">
        <f>B39*$G$151/G39</f>
        <v>211.252543194719</v>
      </c>
      <c r="L39" s="19">
        <f>O39+L40/(1+'Calculations'!$E$3)</f>
        <v>162.973609719506</v>
      </c>
      <c r="M39" s="19">
        <f>O39+M40/(H39+'Calculations'!$E$3-'Calculations'!$E$1+1)</f>
        <v>198.395303069419</v>
      </c>
      <c r="N39" s="21">
        <f>(I39/I40)^4*(O39+N40)</f>
        <v>165.587793453212</v>
      </c>
      <c r="O39" s="19">
        <f>C39*$G$151/G40</f>
        <v>9.3312333702216</v>
      </c>
      <c r="P39" s="19">
        <f>(K40-K39+O39)/K39</f>
        <v>0.165009786001701</v>
      </c>
      <c r="Q39" s="19">
        <f>LN(1+P39)</f>
        <v>0.152729486983844</v>
      </c>
      <c r="R39" s="19">
        <f>D39*$G$151/G40</f>
        <v>14.5800521409712</v>
      </c>
      <c r="S39" s="19">
        <f>K39/R38</f>
        <v>14.7291666666667</v>
      </c>
      <c r="T39" s="19">
        <f>AVERAGE(R30:R39)</f>
        <v>10.6828551378326</v>
      </c>
      <c r="U39" s="19">
        <f>K39/T38</f>
        <v>20.5228084188025</v>
      </c>
      <c r="V39" s="11"/>
      <c r="W39" s="11"/>
      <c r="X39" s="22"/>
      <c r="Y39" s="11"/>
      <c r="Z39" s="11"/>
      <c r="AA39" s="11"/>
      <c r="AB39" s="13"/>
    </row>
    <row r="40" ht="15" customHeight="1">
      <c r="A40" s="17">
        <v>1902</v>
      </c>
      <c r="B40" s="18">
        <v>8.119999999999999</v>
      </c>
      <c r="C40" s="18">
        <v>0.33</v>
      </c>
      <c r="D40" s="18">
        <v>0.63</v>
      </c>
      <c r="E40" s="18">
        <v>4.72</v>
      </c>
      <c r="F40" s="18">
        <v>3.18</v>
      </c>
      <c r="G40" s="18">
        <v>7.8970911</v>
      </c>
      <c r="H40" s="19">
        <f>(1+E40/100)*G40/G41</f>
        <v>0.955138131390033</v>
      </c>
      <c r="I40" s="21">
        <f>'Consumption'!G18</f>
        <v>3659.712065191530</v>
      </c>
      <c r="J40" s="19">
        <f>J39+1</f>
        <v>1902</v>
      </c>
      <c r="K40" s="19">
        <f>B40*$G$151/G40</f>
        <v>236.780046769373</v>
      </c>
      <c r="L40" s="19">
        <f>O40+L41/(1+'Calculations'!$E$3)</f>
        <v>163.676495008777</v>
      </c>
      <c r="M40" s="19">
        <f>O40+M41/(H40+'Calculations'!$E$3-'Calculations'!$E$1+1)</f>
        <v>199.643224745618</v>
      </c>
      <c r="N40" s="21">
        <f>(I40/I41)^4*(O40+N41)</f>
        <v>148.684975445872</v>
      </c>
      <c r="O40" s="19">
        <f>C40*$G$151/G41</f>
        <v>8.77686791438857</v>
      </c>
      <c r="P40" s="19">
        <f>(K41-K40+O40)/K40</f>
        <v>-0.0126539438363435</v>
      </c>
      <c r="Q40" s="19">
        <f>LN(1+P40)</f>
        <v>-0.0127346868518575</v>
      </c>
      <c r="R40" s="19">
        <f>D40*$G$151/G41</f>
        <v>16.7558387456509</v>
      </c>
      <c r="S40" s="19">
        <f>K40/R39</f>
        <v>16.24</v>
      </c>
      <c r="T40" s="19">
        <f>AVERAGE(R31:R40)</f>
        <v>11.2795151539659</v>
      </c>
      <c r="U40" s="19">
        <f>K40/T39</f>
        <v>22.164491019899</v>
      </c>
      <c r="V40" s="11"/>
      <c r="W40" s="11"/>
      <c r="X40" s="22"/>
      <c r="Y40" s="11"/>
      <c r="Z40" s="11"/>
      <c r="AA40" s="11"/>
      <c r="AB40" s="13"/>
    </row>
    <row r="41" ht="15" customHeight="1">
      <c r="A41" s="17">
        <v>1903</v>
      </c>
      <c r="B41" s="18">
        <v>8.460000000000001</v>
      </c>
      <c r="C41" s="18">
        <v>0.35</v>
      </c>
      <c r="D41" s="18">
        <v>0.53</v>
      </c>
      <c r="E41" s="18">
        <v>5.5</v>
      </c>
      <c r="F41" s="18">
        <v>3.3</v>
      </c>
      <c r="G41" s="18">
        <v>8.6582595</v>
      </c>
      <c r="H41" s="19">
        <f>(1+E41/100)*G41/G42</f>
        <v>1.10350539582996</v>
      </c>
      <c r="I41" s="21">
        <f>'Consumption'!G19</f>
        <v>3808.077902986710</v>
      </c>
      <c r="J41" s="19">
        <f>J40+1</f>
        <v>1903</v>
      </c>
      <c r="K41" s="19">
        <f>B41*$G$151/G41</f>
        <v>225.006977441598</v>
      </c>
      <c r="L41" s="19">
        <f>O41+L42/(1+'Calculations'!$E$3)</f>
        <v>165.015854632049</v>
      </c>
      <c r="M41" s="19">
        <f>O41+M42/(H41+'Calculations'!$E$3-'Calculations'!$E$1+1)</f>
        <v>189.573611897889</v>
      </c>
      <c r="N41" s="21">
        <f>(I41/I42)^4*(O41+N42)</f>
        <v>165.525268980271</v>
      </c>
      <c r="O41" s="19">
        <f>C41*$G$151/G42</f>
        <v>9.73678697603083</v>
      </c>
      <c r="P41" s="19">
        <f>(K42-K41+O41)/K41</f>
        <v>-0.130825526012053</v>
      </c>
      <c r="Q41" s="19">
        <f>LN(1+P41)</f>
        <v>-0.140211398279194</v>
      </c>
      <c r="R41" s="19">
        <f>D41*$G$151/G42</f>
        <v>14.7442774208467</v>
      </c>
      <c r="S41" s="19">
        <f>K41/R40</f>
        <v>13.4285714285714</v>
      </c>
      <c r="T41" s="19">
        <f>AVERAGE(R32:R41)</f>
        <v>11.8799491115242</v>
      </c>
      <c r="U41" s="19">
        <f>K41/T40</f>
        <v>19.9482845113679</v>
      </c>
      <c r="V41" s="11"/>
      <c r="W41" s="11"/>
      <c r="X41" s="22"/>
      <c r="Y41" s="11"/>
      <c r="Z41" s="11"/>
      <c r="AA41" s="11"/>
      <c r="AB41" s="13"/>
    </row>
    <row r="42" ht="15" customHeight="1">
      <c r="A42" s="17">
        <v>1904</v>
      </c>
      <c r="B42" s="18">
        <v>6.68</v>
      </c>
      <c r="C42" s="18">
        <v>0.31</v>
      </c>
      <c r="D42" s="18">
        <v>0.49</v>
      </c>
      <c r="E42" s="18">
        <v>4.34</v>
      </c>
      <c r="F42" s="18">
        <v>3.4</v>
      </c>
      <c r="G42" s="18">
        <v>8.277679300000001</v>
      </c>
      <c r="H42" s="19">
        <f>(1+E42/100)*G42/G43</f>
        <v>1.01995785316761</v>
      </c>
      <c r="I42" s="21">
        <f>'Consumption'!G20</f>
        <v>3785.689957330190</v>
      </c>
      <c r="J42" s="19">
        <f>J41+1</f>
        <v>1904</v>
      </c>
      <c r="K42" s="19">
        <f>B42*$G$151/G42</f>
        <v>185.833534285388</v>
      </c>
      <c r="L42" s="19">
        <f>O42+L43/(1+'Calculations'!$E$3)</f>
        <v>165.420075802454</v>
      </c>
      <c r="M42" s="19">
        <f>O42+M43/(H42+'Calculations'!$E$3-'Calculations'!$E$1+1)</f>
        <v>205.300681177558</v>
      </c>
      <c r="N42" s="21">
        <f>(I42/I43)^4*(O42+N43)</f>
        <v>151.930137712095</v>
      </c>
      <c r="O42" s="19">
        <f>C42*$G$151/G43</f>
        <v>8.43025500603814</v>
      </c>
      <c r="P42" s="19">
        <f>(K43-K42+O42)/K42</f>
        <v>0.2789876883216</v>
      </c>
      <c r="Q42" s="19">
        <f>LN(1+P42)</f>
        <v>0.246068896531298</v>
      </c>
      <c r="R42" s="19">
        <f>D42*$G$151/G43</f>
        <v>13.3252417837377</v>
      </c>
      <c r="S42" s="19">
        <f>K42/R41</f>
        <v>12.6037735849056</v>
      </c>
      <c r="T42" s="19">
        <f>AVERAGE(R33:R42)</f>
        <v>12.651247000219</v>
      </c>
      <c r="U42" s="19">
        <f>K42/T41</f>
        <v>15.6426203968432</v>
      </c>
      <c r="V42" s="11"/>
      <c r="W42" s="11"/>
      <c r="X42" s="22"/>
      <c r="Y42" s="11"/>
      <c r="Z42" s="11"/>
      <c r="AA42" s="11"/>
      <c r="AB42" s="13"/>
    </row>
    <row r="43" ht="15" customHeight="1">
      <c r="A43" s="17">
        <v>1905</v>
      </c>
      <c r="B43" s="18">
        <v>8.43</v>
      </c>
      <c r="C43" s="18">
        <v>0.33</v>
      </c>
      <c r="D43" s="18">
        <v>0.67</v>
      </c>
      <c r="E43" s="18">
        <v>4.17</v>
      </c>
      <c r="F43" s="18">
        <v>3.48</v>
      </c>
      <c r="G43" s="18">
        <v>8.4679289</v>
      </c>
      <c r="H43" s="19">
        <f>(1+E43/100)*G43/G44</f>
        <v>1.0417</v>
      </c>
      <c r="I43" s="21">
        <f>'Consumption'!G21</f>
        <v>3923.570459174080</v>
      </c>
      <c r="J43" s="19">
        <f>J42+1</f>
        <v>1905</v>
      </c>
      <c r="K43" s="19">
        <f>B43*$G$151/G43</f>
        <v>229.248547422263</v>
      </c>
      <c r="L43" s="19">
        <f>O43+L44/(1+'Calculations'!$E$3)</f>
        <v>167.242555280440</v>
      </c>
      <c r="M43" s="19">
        <f>O43+M44/(H43+'Calculations'!$E$3-'Calculations'!$E$1+1)</f>
        <v>208.298101703911</v>
      </c>
      <c r="N43" s="21">
        <f>(I43/I44)^4*(O43+N44)</f>
        <v>166.872840016428</v>
      </c>
      <c r="O43" s="19">
        <f>C43*$G$151/G44</f>
        <v>8.97414242578253</v>
      </c>
      <c r="P43" s="19">
        <f>(K44-K43+O43)/K43</f>
        <v>0.209964412811386</v>
      </c>
      <c r="Q43" s="19">
        <f>LN(1+P43)</f>
        <v>0.19059094827646</v>
      </c>
      <c r="R43" s="19">
        <f>D43*$G$151/G44</f>
        <v>18.2202285614373</v>
      </c>
      <c r="S43" s="19">
        <f>K43/R42</f>
        <v>17.2040816326531</v>
      </c>
      <c r="T43" s="19">
        <f>AVERAGE(R34:R43)</f>
        <v>13.6088805429834</v>
      </c>
      <c r="U43" s="19">
        <f>K43/T42</f>
        <v>18.1206285371153</v>
      </c>
      <c r="V43" s="11"/>
      <c r="W43" s="11"/>
      <c r="X43" s="11"/>
      <c r="Y43" s="11"/>
      <c r="Z43" s="11"/>
      <c r="AA43" s="11"/>
      <c r="AB43" s="13"/>
    </row>
    <row r="44" ht="15" customHeight="1">
      <c r="A44" s="17">
        <v>1906</v>
      </c>
      <c r="B44" s="18">
        <v>9.869999999999999</v>
      </c>
      <c r="C44" s="18">
        <v>0.4</v>
      </c>
      <c r="D44" s="18">
        <v>0.76</v>
      </c>
      <c r="E44" s="18">
        <v>5.47</v>
      </c>
      <c r="F44" s="18">
        <v>3.43</v>
      </c>
      <c r="G44" s="18">
        <v>8.4679289</v>
      </c>
      <c r="H44" s="19">
        <f>(1+E44/100)*G44/G45</f>
        <v>1.00933665885364</v>
      </c>
      <c r="I44" s="21">
        <f>'Consumption'!G22</f>
        <v>4273.8445351244</v>
      </c>
      <c r="J44" s="19">
        <f>J43+1</f>
        <v>1906</v>
      </c>
      <c r="K44" s="19">
        <f>B44*$G$151/G44</f>
        <v>268.408441643859</v>
      </c>
      <c r="L44" s="19">
        <f>O44+L45/(1+'Calculations'!$E$3)</f>
        <v>168.604649981210</v>
      </c>
      <c r="M44" s="19">
        <f>O44+M45/(H44+'Calculations'!$E$3-'Calculations'!$E$1+1)</f>
        <v>215.227785062720</v>
      </c>
      <c r="N44" s="21">
        <f>(I44/I45)^4*(O44+N45)</f>
        <v>225.953821195094</v>
      </c>
      <c r="O44" s="19">
        <f>C44*$G$151/G45</f>
        <v>10.4098892772795</v>
      </c>
      <c r="P44" s="19">
        <f>(K45-K44+O44)/K44</f>
        <v>-0.0342843115635295</v>
      </c>
      <c r="Q44" s="19">
        <f>LN(1+P44)</f>
        <v>-0.0348858064785231</v>
      </c>
      <c r="R44" s="19">
        <f>D44*$G$151/G45</f>
        <v>19.778789626831</v>
      </c>
      <c r="S44" s="19">
        <f>K44/R43</f>
        <v>14.731343283582</v>
      </c>
      <c r="T44" s="19">
        <f>AVERAGE(R35:R44)</f>
        <v>14.839317113444</v>
      </c>
      <c r="U44" s="19">
        <f>K44/T43</f>
        <v>19.7230360569406</v>
      </c>
      <c r="V44" s="11"/>
      <c r="W44" s="11"/>
      <c r="X44" s="22"/>
      <c r="Y44" s="11"/>
      <c r="Z44" s="11"/>
      <c r="AA44" s="11"/>
      <c r="AB44" s="13"/>
    </row>
    <row r="45" ht="15" customHeight="1">
      <c r="A45" s="17">
        <v>1907</v>
      </c>
      <c r="B45" s="18">
        <v>9.56</v>
      </c>
      <c r="C45" s="18">
        <v>0.44</v>
      </c>
      <c r="D45" s="18">
        <v>0.66</v>
      </c>
      <c r="E45" s="18">
        <v>6.23</v>
      </c>
      <c r="F45" s="18">
        <v>3.67</v>
      </c>
      <c r="G45" s="18">
        <v>8.848509099999999</v>
      </c>
      <c r="H45" s="19">
        <f>(1+E45/100)*G45/G46</f>
        <v>1.08564212206044</v>
      </c>
      <c r="I45" s="21">
        <f>'Consumption'!G23</f>
        <v>4276.705113168310</v>
      </c>
      <c r="J45" s="19">
        <f>J44+1</f>
        <v>1907</v>
      </c>
      <c r="K45" s="19">
        <f>B45*$G$151/G45</f>
        <v>248.796353726980</v>
      </c>
      <c r="L45" s="19">
        <f>O45+L46/(1+'Calculations'!$E$3)</f>
        <v>168.526187735524</v>
      </c>
      <c r="M45" s="19">
        <f>O45+M46/(H45+'Calculations'!$E$3-'Calculations'!$E$1+1)</f>
        <v>214.531484909656</v>
      </c>
      <c r="N45" s="21">
        <f>(I45/I46)^4*(O45+N46)</f>
        <v>216.149482968724</v>
      </c>
      <c r="O45" s="19">
        <f>C45*$G$151/G46</f>
        <v>11.7024905525181</v>
      </c>
      <c r="P45" s="19">
        <f>(K46-K45+O45)/K45</f>
        <v>-0.220691990476509</v>
      </c>
      <c r="Q45" s="19">
        <f>LN(1+P45)</f>
        <v>-0.249348920341872</v>
      </c>
      <c r="R45" s="19">
        <f>D45*$G$151/G46</f>
        <v>17.5537358287771</v>
      </c>
      <c r="S45" s="19">
        <f>K45/R44</f>
        <v>12.5789473684211</v>
      </c>
      <c r="T45" s="19">
        <f>AVERAGE(R36:R45)</f>
        <v>15.5228479477313</v>
      </c>
      <c r="U45" s="19">
        <f>K45/T44</f>
        <v>16.7660244622428</v>
      </c>
      <c r="V45" s="11"/>
      <c r="W45" s="11"/>
      <c r="X45" s="22"/>
      <c r="Y45" s="11"/>
      <c r="Z45" s="11"/>
      <c r="AA45" s="11"/>
      <c r="AB45" s="13"/>
    </row>
    <row r="46" ht="15" customHeight="1">
      <c r="A46" s="17">
        <v>1908</v>
      </c>
      <c r="B46" s="18">
        <v>6.85</v>
      </c>
      <c r="C46" s="18">
        <v>0.4</v>
      </c>
      <c r="D46" s="18">
        <v>0.58</v>
      </c>
      <c r="E46" s="18">
        <v>5.32</v>
      </c>
      <c r="F46" s="18">
        <v>3.87</v>
      </c>
      <c r="G46" s="18">
        <v>8.6582595</v>
      </c>
      <c r="H46" s="19">
        <f>(1+E46/100)*G46/G47</f>
        <v>1.0195897678699</v>
      </c>
      <c r="I46" s="21">
        <f>'Consumption'!G24</f>
        <v>3929.989972194030</v>
      </c>
      <c r="J46" s="19">
        <f>J45+1</f>
        <v>1908</v>
      </c>
      <c r="K46" s="19">
        <f>B46*$G$151/G46</f>
        <v>182.186500647157</v>
      </c>
      <c r="L46" s="19">
        <f>O46+L47/(1+'Calculations'!$E$3)</f>
        <v>167.065582420301</v>
      </c>
      <c r="M46" s="19">
        <f>O46+M47/(H46+'Calculations'!$E$3-'Calculations'!$E$1+1)</f>
        <v>227.925219222203</v>
      </c>
      <c r="N46" s="21">
        <f>(I46/I47)^4*(O46+N47)</f>
        <v>142.425936566805</v>
      </c>
      <c r="O46" s="19">
        <f>C46*$G$151/G47</f>
        <v>10.2991226961482</v>
      </c>
      <c r="P46" s="19">
        <f>(K47-K46+O46)/K46</f>
        <v>0.336950053372174</v>
      </c>
      <c r="Q46" s="19">
        <f>LN(1+P46)</f>
        <v>0.290390940183543</v>
      </c>
      <c r="R46" s="19">
        <f>D46*$G$151/G47</f>
        <v>14.9337279094149</v>
      </c>
      <c r="S46" s="19">
        <f>K46/R45</f>
        <v>10.3787878787879</v>
      </c>
      <c r="T46" s="19">
        <f>AVERAGE(R37:R46)</f>
        <v>15.823120610885</v>
      </c>
      <c r="U46" s="19">
        <f>K46/T45</f>
        <v>11.7366672185811</v>
      </c>
      <c r="V46" s="11"/>
      <c r="W46" s="11"/>
      <c r="X46" s="11"/>
      <c r="Y46" s="11"/>
      <c r="Z46" s="11"/>
      <c r="AA46" s="11"/>
      <c r="AB46" s="13"/>
    </row>
    <row r="47" ht="15" customHeight="1">
      <c r="A47" s="17">
        <v>1909</v>
      </c>
      <c r="B47" s="18">
        <v>9.06</v>
      </c>
      <c r="C47" s="18">
        <v>0.44</v>
      </c>
      <c r="D47" s="18">
        <v>0.76</v>
      </c>
      <c r="E47" s="18">
        <v>3.65</v>
      </c>
      <c r="F47" s="18">
        <v>3.76</v>
      </c>
      <c r="G47" s="18">
        <v>8.943674400000001</v>
      </c>
      <c r="H47" s="19">
        <f>(1+E47/100)*G47/G48</f>
        <v>0.936833113399328</v>
      </c>
      <c r="I47" s="21">
        <f>'Consumption'!G25</f>
        <v>4274.442349727310</v>
      </c>
      <c r="J47" s="19">
        <f>J46+1</f>
        <v>1909</v>
      </c>
      <c r="K47" s="19">
        <f>B47*$G$151/G47</f>
        <v>233.275129067758</v>
      </c>
      <c r="L47" s="19">
        <f>O47+L48/(1+'Calculations'!$E$3)</f>
        <v>167.004606881710</v>
      </c>
      <c r="M47" s="19">
        <f>O47+M48/(H47+'Calculations'!$E$3-'Calculations'!$E$1+1)</f>
        <v>230.178464942368</v>
      </c>
      <c r="N47" s="21">
        <f>(I47/I48)^4*(O47+N48)</f>
        <v>189.016422189945</v>
      </c>
      <c r="O47" s="19">
        <f>C47*$G$151/G48</f>
        <v>10.2396672443663</v>
      </c>
      <c r="P47" s="19">
        <f>(K48-K47+O47)/K47</f>
        <v>0.0494952291004096</v>
      </c>
      <c r="Q47" s="19">
        <f>LN(1+P47)</f>
        <v>0.0483093143896184</v>
      </c>
      <c r="R47" s="19">
        <f>D47*$G$151/G48</f>
        <v>17.6866979675418</v>
      </c>
      <c r="S47" s="19">
        <f>K47/R46</f>
        <v>15.6206896551725</v>
      </c>
      <c r="T47" s="19">
        <f>AVERAGE(R38:R47)</f>
        <v>16.1921054021059</v>
      </c>
      <c r="U47" s="19">
        <f>K47/T46</f>
        <v>14.742675279065</v>
      </c>
      <c r="V47" s="11"/>
      <c r="W47" s="11"/>
      <c r="X47" s="11"/>
      <c r="Y47" s="11"/>
      <c r="Z47" s="11"/>
      <c r="AA47" s="11"/>
      <c r="AB47" s="13"/>
    </row>
    <row r="48" ht="15" customHeight="1">
      <c r="A48" s="17">
        <v>1910</v>
      </c>
      <c r="B48" s="18">
        <v>10.08</v>
      </c>
      <c r="C48" s="18">
        <v>0.47</v>
      </c>
      <c r="D48" s="18">
        <v>0.73</v>
      </c>
      <c r="E48" s="18">
        <v>5.26</v>
      </c>
      <c r="F48" s="18">
        <v>3.91</v>
      </c>
      <c r="G48" s="18">
        <v>9.8951653</v>
      </c>
      <c r="H48" s="19">
        <f>(1+E48/100)*G48/G49</f>
        <v>1.12856758193682</v>
      </c>
      <c r="I48" s="21">
        <f>'Consumption'!G26</f>
        <v>4263.359502899060</v>
      </c>
      <c r="J48" s="19">
        <f>J47+1</f>
        <v>1910</v>
      </c>
      <c r="K48" s="19">
        <f>B48*$G$151/G48</f>
        <v>234.581467780028</v>
      </c>
      <c r="L48" s="19">
        <f>O48+L49/(1+'Calculations'!$E$3)</f>
        <v>167.002987520652</v>
      </c>
      <c r="M48" s="19">
        <f>O48+M49/(H48+'Calculations'!$E$3-'Calculations'!$E$1+1)</f>
        <v>214.423160392720</v>
      </c>
      <c r="N48" s="21">
        <f>(I48/I49)^4*(O48+N49)</f>
        <v>176.824026001882</v>
      </c>
      <c r="O48" s="19">
        <f>C48*$G$151/G49</f>
        <v>11.7272242668624</v>
      </c>
      <c r="P48" s="19">
        <f>(K49-K48+O48)/K48</f>
        <v>0.0360068575530907</v>
      </c>
      <c r="Q48" s="19">
        <f>LN(1+P48)</f>
        <v>0.0353737630751242</v>
      </c>
      <c r="R48" s="19">
        <f>D48*$G$151/G49</f>
        <v>18.2146249251267</v>
      </c>
      <c r="S48" s="19">
        <f>K48/R47</f>
        <v>13.2631578947368</v>
      </c>
      <c r="T48" s="19">
        <f>AVERAGE(R39:R48)</f>
        <v>16.5793214910335</v>
      </c>
      <c r="U48" s="19">
        <f>K48/T47</f>
        <v>14.4873975282744</v>
      </c>
      <c r="V48" s="11"/>
      <c r="W48" s="11"/>
      <c r="X48" s="15"/>
      <c r="Y48" s="11"/>
      <c r="Z48" s="11"/>
      <c r="AA48" s="11"/>
      <c r="AB48" s="13"/>
    </row>
    <row r="49" ht="15" customHeight="1">
      <c r="A49" s="17">
        <v>1911</v>
      </c>
      <c r="B49" s="18">
        <v>9.27</v>
      </c>
      <c r="C49" s="18">
        <v>0.47</v>
      </c>
      <c r="D49" s="18">
        <v>0.59</v>
      </c>
      <c r="E49" s="18">
        <v>4</v>
      </c>
      <c r="F49" s="18">
        <v>3.98</v>
      </c>
      <c r="G49" s="18">
        <v>9.2290893</v>
      </c>
      <c r="H49" s="19">
        <f>(1+E49/100)*G49/G50</f>
        <v>1.05082632120302</v>
      </c>
      <c r="I49" s="21">
        <f>'Consumption'!G27</f>
        <v>4399.928250705610</v>
      </c>
      <c r="J49" s="19">
        <f>J48+1</f>
        <v>1911</v>
      </c>
      <c r="K49" s="19">
        <f>B49*$G$151/G49</f>
        <v>231.300785008116</v>
      </c>
      <c r="L49" s="19">
        <f>O49+L50/(1+'Calculations'!$E$3)</f>
        <v>165.416555595414</v>
      </c>
      <c r="M49" s="19">
        <f>O49+M50/(H49+'Calculations'!$E$3-'Calculations'!$E$1+1)</f>
        <v>236.476513842374</v>
      </c>
      <c r="N49" s="21">
        <f>(I49/I50)^4*(O49+N50)</f>
        <v>188.865801972763</v>
      </c>
      <c r="O49" s="19">
        <f>C49*$G$151/G50</f>
        <v>11.8493037829517</v>
      </c>
      <c r="P49" s="19">
        <f>(K50-K49+O49)/K49</f>
        <v>0.0452892312190861</v>
      </c>
      <c r="Q49" s="19">
        <f>LN(1+P49)</f>
        <v>0.0442936234074908</v>
      </c>
      <c r="R49" s="19">
        <f>D49*$G$151/G50</f>
        <v>14.8746579403011</v>
      </c>
      <c r="S49" s="19">
        <f>K49/R48</f>
        <v>12.6986301369863</v>
      </c>
      <c r="T49" s="19">
        <f>AVERAGE(R40:R49)</f>
        <v>16.6087820709665</v>
      </c>
      <c r="U49" s="19">
        <f>K49/T48</f>
        <v>13.9511610974677</v>
      </c>
      <c r="V49" s="11"/>
      <c r="W49" s="11"/>
      <c r="X49" s="11"/>
      <c r="Y49" s="22"/>
      <c r="Z49" s="11"/>
      <c r="AA49" s="11"/>
      <c r="AB49" s="13"/>
    </row>
    <row r="50" ht="15" customHeight="1">
      <c r="A50" s="17">
        <v>1912</v>
      </c>
      <c r="B50" s="18">
        <v>9.119999999999999</v>
      </c>
      <c r="C50" s="18">
        <v>0.48</v>
      </c>
      <c r="D50" s="18">
        <v>0.7</v>
      </c>
      <c r="E50" s="18">
        <v>4.35</v>
      </c>
      <c r="F50" s="18">
        <v>4.01</v>
      </c>
      <c r="G50" s="18">
        <v>9.134005</v>
      </c>
      <c r="H50" s="19">
        <f>(1+E50/100)*G50/G51</f>
        <v>0.972585124234694</v>
      </c>
      <c r="I50" s="21">
        <f>'Consumption'!G28</f>
        <v>4444.755222900710</v>
      </c>
      <c r="J50" s="19">
        <f>J49+1</f>
        <v>1912</v>
      </c>
      <c r="K50" s="19">
        <f>B50*$G$151/G50</f>
        <v>229.926915958553</v>
      </c>
      <c r="L50" s="19">
        <f>O50+L51/(1+'Calculations'!$E$3)</f>
        <v>163.596464217999</v>
      </c>
      <c r="M50" s="19">
        <f>O50+M51/(H50+'Calculations'!$E$3-'Calculations'!$E$1+1)</f>
        <v>244.599972724893</v>
      </c>
      <c r="N50" s="21">
        <f>(I50/I51)^4*(O50+N51)</f>
        <v>184.831667671793</v>
      </c>
      <c r="O50" s="19">
        <f>C50*$G$151/G51</f>
        <v>11.2790204081633</v>
      </c>
      <c r="P50" s="19">
        <f>(K51-K50+O50)/K50</f>
        <v>-0.000508314312569513</v>
      </c>
      <c r="Q50" s="19">
        <f>LN(1+P50)</f>
        <v>-0.000508443548086359</v>
      </c>
      <c r="R50" s="19">
        <f>D50*$G$151/G51</f>
        <v>16.4485714285714</v>
      </c>
      <c r="S50" s="19">
        <f>K50/R49</f>
        <v>15.4576271186441</v>
      </c>
      <c r="T50" s="19">
        <f>AVERAGE(R41:R50)</f>
        <v>16.5780553392586</v>
      </c>
      <c r="U50" s="19">
        <f>K50/T49</f>
        <v>13.8436951593509</v>
      </c>
      <c r="V50" s="11"/>
      <c r="W50" s="11"/>
      <c r="X50" s="22"/>
      <c r="Y50" s="11"/>
      <c r="Z50" s="11"/>
      <c r="AA50" s="11"/>
      <c r="AB50" s="13"/>
    </row>
    <row r="51" ht="15" customHeight="1">
      <c r="A51" s="17">
        <v>1913</v>
      </c>
      <c r="B51" s="18">
        <v>9.300000000000001</v>
      </c>
      <c r="C51" s="18">
        <v>0.48</v>
      </c>
      <c r="D51" s="18">
        <v>0.63</v>
      </c>
      <c r="E51" s="18">
        <v>5.65</v>
      </c>
      <c r="F51" s="18">
        <v>4.45</v>
      </c>
      <c r="G51" s="18">
        <v>9.800000000000001</v>
      </c>
      <c r="H51" s="19">
        <f>(1+E51/100)*G51/G52</f>
        <v>1.03537</v>
      </c>
      <c r="I51" s="21">
        <f>'Consumption'!G29</f>
        <v>4501.988020803920</v>
      </c>
      <c r="J51" s="19">
        <f>J50+1</f>
        <v>1913</v>
      </c>
      <c r="K51" s="19">
        <f>B51*$G$151/G51</f>
        <v>218.531020408163</v>
      </c>
      <c r="L51" s="19">
        <f>O51+L52/(1+'Calculations'!$E$3)</f>
        <v>162.265033409882</v>
      </c>
      <c r="M51" s="19">
        <f>O51+M52/(H51+'Calculations'!$E$3-'Calculations'!$E$1+1)</f>
        <v>235.811409814814</v>
      </c>
      <c r="N51" s="21">
        <f>(I51/I52)^4*(O51+N52)</f>
        <v>183.258029898160</v>
      </c>
      <c r="O51" s="19">
        <f>C51*$G$151/G52</f>
        <v>11.05344</v>
      </c>
      <c r="P51" s="19">
        <f>(K52-K51+O51)/K51</f>
        <v>-0.06741935483870851</v>
      </c>
      <c r="Q51" s="19">
        <f>LN(1+P51)</f>
        <v>-0.0697996484568903</v>
      </c>
      <c r="R51" s="19">
        <f>D51*$G$151/G52</f>
        <v>14.50764</v>
      </c>
      <c r="S51" s="19">
        <f>K51/R50</f>
        <v>13.2857142857143</v>
      </c>
      <c r="T51" s="19">
        <f>AVERAGE(R42:R51)</f>
        <v>16.5543915971739</v>
      </c>
      <c r="U51" s="19">
        <f>K51/T50</f>
        <v>13.1819454053008</v>
      </c>
      <c r="V51" s="11"/>
      <c r="W51" s="11"/>
      <c r="X51" s="22"/>
      <c r="Y51" s="11"/>
      <c r="Z51" s="11"/>
      <c r="AA51" s="11"/>
      <c r="AB51" s="13"/>
    </row>
    <row r="52" ht="15" customHeight="1">
      <c r="A52" s="17">
        <v>1914</v>
      </c>
      <c r="B52" s="18">
        <v>8.369999999999999</v>
      </c>
      <c r="C52" s="18">
        <v>0.42</v>
      </c>
      <c r="D52" s="18">
        <v>0.52</v>
      </c>
      <c r="E52" s="18">
        <v>4.64</v>
      </c>
      <c r="F52" s="18">
        <v>4.16</v>
      </c>
      <c r="G52" s="18">
        <v>10</v>
      </c>
      <c r="H52" s="19">
        <f>(1+E52/100)*G52/G53</f>
        <v>1.0360396039604</v>
      </c>
      <c r="I52" s="21">
        <f>'Consumption'!G30</f>
        <v>4361.754443334820</v>
      </c>
      <c r="J52" s="19">
        <f>J51+1</f>
        <v>1914</v>
      </c>
      <c r="K52" s="19">
        <f>B52*$G$151/G52</f>
        <v>192.74436</v>
      </c>
      <c r="L52" s="19">
        <f>O52+L53/(1+'Calculations'!$E$3)</f>
        <v>161.086961827228</v>
      </c>
      <c r="M52" s="19">
        <f>O52+M53/(H52+'Calculations'!$E$3-'Calculations'!$E$1+1)</f>
        <v>241.268427629496</v>
      </c>
      <c r="N52" s="21">
        <f>(I52/I53)^4*(O52+N53)</f>
        <v>150.416067924689</v>
      </c>
      <c r="O52" s="19">
        <f>C52*$G$151/G53</f>
        <v>9.576000000000001</v>
      </c>
      <c r="P52" s="19">
        <f>(K53-K52+O52)/K52</f>
        <v>-0.0654979476442268</v>
      </c>
      <c r="Q52" s="19">
        <f>LN(1+P52)</f>
        <v>-0.06774145588157621</v>
      </c>
      <c r="R52" s="19">
        <f>D52*$G$151/G53</f>
        <v>11.856</v>
      </c>
      <c r="S52" s="19">
        <f>K52/R51</f>
        <v>13.2857142857143</v>
      </c>
      <c r="T52" s="19">
        <f>AVERAGE(R43:R52)</f>
        <v>16.4074674188001</v>
      </c>
      <c r="U52" s="19">
        <f>K52/T51</f>
        <v>11.6430953604423</v>
      </c>
      <c r="V52" s="11"/>
      <c r="W52" s="11"/>
      <c r="X52" s="22"/>
      <c r="Y52" s="11"/>
      <c r="Z52" s="11"/>
      <c r="AA52" s="11"/>
      <c r="AB52" s="13"/>
    </row>
    <row r="53" ht="15" customHeight="1">
      <c r="A53" s="17">
        <v>1915</v>
      </c>
      <c r="B53" s="18">
        <v>7.48</v>
      </c>
      <c r="C53" s="18">
        <v>0.43</v>
      </c>
      <c r="D53" s="18">
        <v>0.88</v>
      </c>
      <c r="E53" s="18">
        <v>3.65</v>
      </c>
      <c r="F53" s="18">
        <v>4.24</v>
      </c>
      <c r="G53" s="18">
        <v>10.1</v>
      </c>
      <c r="H53" s="19">
        <f>(1+E53/100)*G53/G54</f>
        <v>1.00660096153846</v>
      </c>
      <c r="I53" s="21">
        <f>'Consumption'!G31</f>
        <v>4224.743781459740</v>
      </c>
      <c r="J53" s="19">
        <f>J52+1</f>
        <v>1915</v>
      </c>
      <c r="K53" s="19">
        <f>B53*$G$151/G53</f>
        <v>170.544</v>
      </c>
      <c r="L53" s="19">
        <f>O53+L54/(1+'Calculations'!$E$3)</f>
        <v>161.405881479682</v>
      </c>
      <c r="M53" s="19">
        <f>O53+M54/(H53+'Calculations'!$E$3-'Calculations'!$E$1+1)</f>
        <v>248.867424778903</v>
      </c>
      <c r="N53" s="21">
        <f>(I53/I54)^4*(O53+N54)</f>
        <v>122.812689855532</v>
      </c>
      <c r="O53" s="19">
        <f>C53*$G$151/G54</f>
        <v>9.52119230769231</v>
      </c>
      <c r="P53" s="19">
        <f>(K54-K53+O53)/K53</f>
        <v>0.267174002468121</v>
      </c>
      <c r="Q53" s="19">
        <f>LN(1+P53)</f>
        <v>0.236789226138503</v>
      </c>
      <c r="R53" s="19">
        <f>D53*$G$151/G54</f>
        <v>19.4852307692308</v>
      </c>
      <c r="S53" s="19">
        <f>K53/R52</f>
        <v>14.3846153846154</v>
      </c>
      <c r="T53" s="19">
        <f>AVERAGE(R44:R53)</f>
        <v>16.5339676395795</v>
      </c>
      <c r="U53" s="19">
        <f>K53/T52</f>
        <v>10.3942915531611</v>
      </c>
      <c r="V53" s="11"/>
      <c r="W53" s="11"/>
      <c r="X53" s="22"/>
      <c r="Y53" s="11"/>
      <c r="Z53" s="11"/>
      <c r="AA53" s="11"/>
      <c r="AB53" s="13"/>
    </row>
    <row r="54" ht="15" customHeight="1">
      <c r="A54" s="17">
        <v>1916</v>
      </c>
      <c r="B54" s="18">
        <v>9.33</v>
      </c>
      <c r="C54" s="18">
        <v>0.5600000000000001</v>
      </c>
      <c r="D54" s="18">
        <v>1.53</v>
      </c>
      <c r="E54" s="18">
        <v>3.64</v>
      </c>
      <c r="F54" s="18">
        <v>4.05</v>
      </c>
      <c r="G54" s="18">
        <v>10.4</v>
      </c>
      <c r="H54" s="19">
        <f>(1+E54/100)*G54/G55</f>
        <v>0.921244444444444</v>
      </c>
      <c r="I54" s="21">
        <f>'Consumption'!G32</f>
        <v>4541.708900882130</v>
      </c>
      <c r="J54" s="19">
        <f>J53+1</f>
        <v>1916</v>
      </c>
      <c r="K54" s="19">
        <f>B54*$G$151/G54</f>
        <v>206.587730769231</v>
      </c>
      <c r="L54" s="19">
        <f>O54+L55/(1+'Calculations'!$E$3)</f>
        <v>161.804016312877</v>
      </c>
      <c r="M54" s="19">
        <f>O54+M55/(H54+'Calculations'!$E$3-'Calculations'!$E$1+1)</f>
        <v>250.042566045474</v>
      </c>
      <c r="N54" s="21">
        <f>(I54/I55)^4*(O54+N55)</f>
        <v>154.507159589384</v>
      </c>
      <c r="O54" s="19">
        <f>C54*$G$151/G55</f>
        <v>11.0219487179487</v>
      </c>
      <c r="P54" s="19">
        <f>(K55-K54+O54)/K54</f>
        <v>-0.0348934143146362</v>
      </c>
      <c r="Q54" s="19">
        <f>LN(1+P54)</f>
        <v>-0.0355167322550439</v>
      </c>
      <c r="R54" s="19">
        <f>D54*$G$151/G55</f>
        <v>30.1135384615385</v>
      </c>
      <c r="S54" s="19">
        <f>K54/R53</f>
        <v>10.6022727272727</v>
      </c>
      <c r="T54" s="19">
        <f>AVERAGE(R45:R54)</f>
        <v>17.5674425230502</v>
      </c>
      <c r="U54" s="19">
        <f>K54/T53</f>
        <v>12.4947462867107</v>
      </c>
      <c r="V54" s="11"/>
      <c r="W54" s="11"/>
      <c r="X54" s="22"/>
      <c r="Y54" s="11"/>
      <c r="Z54" s="11"/>
      <c r="AA54" s="11"/>
      <c r="AB54" s="13"/>
    </row>
    <row r="55" ht="15" customHeight="1">
      <c r="A55" s="17">
        <v>1917</v>
      </c>
      <c r="B55" s="18">
        <v>9.57</v>
      </c>
      <c r="C55" s="18">
        <v>0.6899999999999999</v>
      </c>
      <c r="D55" s="18">
        <v>1.28</v>
      </c>
      <c r="E55" s="18">
        <v>4.25</v>
      </c>
      <c r="F55" s="18">
        <v>4.23</v>
      </c>
      <c r="G55" s="18">
        <v>11.7</v>
      </c>
      <c r="H55" s="19">
        <f>(1+E55/100)*G55/G56</f>
        <v>0.871232142857143</v>
      </c>
      <c r="I55" s="21">
        <f>'Consumption'!G33</f>
        <v>4387.478029139820</v>
      </c>
      <c r="J55" s="19">
        <f>J54+1</f>
        <v>1917</v>
      </c>
      <c r="K55" s="19">
        <f>B55*$G$151/G55</f>
        <v>188.357230769231</v>
      </c>
      <c r="L55" s="19">
        <f>O55+L56/(1+'Calculations'!$E$3)</f>
        <v>160.629384421971</v>
      </c>
      <c r="M55" s="19">
        <f>O55+M56/(H55+'Calculations'!$E$3-'Calculations'!$E$1+1)</f>
        <v>229.300431819695</v>
      </c>
      <c r="N55" s="21">
        <f>(I55/I56)^4*(O55+N56)</f>
        <v>123.542782450251</v>
      </c>
      <c r="O55" s="19">
        <f>C55*$G$151/G56</f>
        <v>11.3495142857143</v>
      </c>
      <c r="P55" s="19">
        <f>(K56-K55+O55)/K55</f>
        <v>-0.31012091356919</v>
      </c>
      <c r="Q55" s="19">
        <f>LN(1+P55)</f>
        <v>-0.371238933803436</v>
      </c>
      <c r="R55" s="19">
        <f>D55*$G$151/G56</f>
        <v>21.0541714285714</v>
      </c>
      <c r="S55" s="19">
        <f>K55/R54</f>
        <v>6.25490196078431</v>
      </c>
      <c r="T55" s="19">
        <f>AVERAGE(R46:R55)</f>
        <v>17.9174860830297</v>
      </c>
      <c r="U55" s="19">
        <f>K55/T54</f>
        <v>10.721949454059</v>
      </c>
      <c r="V55" s="11"/>
      <c r="W55" s="11"/>
      <c r="X55" s="11"/>
      <c r="Y55" s="11"/>
      <c r="Z55" s="11"/>
      <c r="AA55" s="11"/>
      <c r="AB55" s="13"/>
    </row>
    <row r="56" ht="15" customHeight="1">
      <c r="A56" s="17">
        <v>1918</v>
      </c>
      <c r="B56" s="18">
        <v>7.21</v>
      </c>
      <c r="C56" s="18">
        <v>0.57</v>
      </c>
      <c r="D56" s="18">
        <v>0.99</v>
      </c>
      <c r="E56" s="18">
        <v>5.98</v>
      </c>
      <c r="F56" s="18">
        <v>4.57</v>
      </c>
      <c r="G56" s="18">
        <v>14</v>
      </c>
      <c r="H56" s="19">
        <f>(1+E56/100)*G56/G57</f>
        <v>0.899224242424242</v>
      </c>
      <c r="I56" s="21">
        <f>'Consumption'!G34</f>
        <v>4369.959261652</v>
      </c>
      <c r="J56" s="19">
        <f>J55+1</f>
        <v>1918</v>
      </c>
      <c r="K56" s="19">
        <f>B56*$G$151/G56</f>
        <v>118.5942</v>
      </c>
      <c r="L56" s="19">
        <f>O56+L57/(1+'Calculations'!$E$3)</f>
        <v>159.029081037653</v>
      </c>
      <c r="M56" s="19">
        <f>O56+M57/(H56+'Calculations'!$E$3-'Calculations'!$E$1+1)</f>
        <v>198.187340676358</v>
      </c>
      <c r="N56" s="21">
        <f>(I56/I57)^4*(O56+N57)</f>
        <v>110.231878154512</v>
      </c>
      <c r="O56" s="19">
        <f>C56*$G$151/G57</f>
        <v>7.95512727272727</v>
      </c>
      <c r="P56" s="19">
        <f>(K57-K56+O56)/K56</f>
        <v>-0.00912032950867521</v>
      </c>
      <c r="Q56" s="19">
        <f>LN(1+P56)</f>
        <v>-0.00916217433389485</v>
      </c>
      <c r="R56" s="19">
        <f>D56*$G$151/G57</f>
        <v>13.8168</v>
      </c>
      <c r="S56" s="19">
        <f>K56/R55</f>
        <v>5.63281250000001</v>
      </c>
      <c r="T56" s="19">
        <f>AVERAGE(R47:R56)</f>
        <v>17.8057932920882</v>
      </c>
      <c r="U56" s="19">
        <f>K56/T55</f>
        <v>6.61890844789464</v>
      </c>
      <c r="V56" s="11"/>
      <c r="W56" s="11"/>
      <c r="X56" s="22"/>
      <c r="Y56" s="11"/>
      <c r="Z56" s="11"/>
      <c r="AA56" s="11"/>
      <c r="AB56" s="13"/>
    </row>
    <row r="57" ht="15" customHeight="1">
      <c r="A57" s="17">
        <v>1919</v>
      </c>
      <c r="B57" s="18">
        <v>7.85</v>
      </c>
      <c r="C57" s="18">
        <v>0.53</v>
      </c>
      <c r="D57" s="18">
        <v>0.93</v>
      </c>
      <c r="E57" s="18">
        <v>5.56</v>
      </c>
      <c r="F57" s="18">
        <v>4.5</v>
      </c>
      <c r="G57" s="18">
        <v>16.5</v>
      </c>
      <c r="H57" s="19">
        <f>(1+E57/100)*G57/G58</f>
        <v>0.902455958549223</v>
      </c>
      <c r="I57" s="21">
        <f>'Consumption'!G35</f>
        <v>4505.826737301230</v>
      </c>
      <c r="J57" s="19">
        <f>J56+1</f>
        <v>1919</v>
      </c>
      <c r="K57" s="19">
        <f>B57*$G$151/G57</f>
        <v>109.557454545455</v>
      </c>
      <c r="L57" s="19">
        <f>O57+L58/(1+'Calculations'!$E$3)</f>
        <v>160.940333174405</v>
      </c>
      <c r="M57" s="19">
        <f>O57+M58/(H57+'Calculations'!$E$3-'Calculations'!$E$1+1)</f>
        <v>178.307140689343</v>
      </c>
      <c r="N57" s="21">
        <f>(I57/I58)^4*(O57+N58)</f>
        <v>116.638435522088</v>
      </c>
      <c r="O57" s="19">
        <f>C57*$G$151/G58</f>
        <v>6.32375129533679</v>
      </c>
      <c r="P57" s="19">
        <f>(K58-K57+O57)/K57</f>
        <v>0.0193722979439543</v>
      </c>
      <c r="Q57" s="19">
        <f>LN(1+P57)</f>
        <v>0.0191870436908709</v>
      </c>
      <c r="R57" s="19">
        <f>D57*$G$151/G58</f>
        <v>11.0963937823834</v>
      </c>
      <c r="S57" s="19">
        <f>K57/R56</f>
        <v>7.92929292929296</v>
      </c>
      <c r="T57" s="19">
        <f>AVERAGE(R48:R57)</f>
        <v>17.1467628735723</v>
      </c>
      <c r="U57" s="19">
        <f>K57/T56</f>
        <v>6.1529106144423</v>
      </c>
      <c r="V57" s="11"/>
      <c r="W57" s="11"/>
      <c r="X57" s="22"/>
      <c r="Y57" s="11"/>
      <c r="Z57" s="11"/>
      <c r="AA57" s="11"/>
      <c r="AB57" s="13"/>
    </row>
    <row r="58" ht="15" customHeight="1">
      <c r="A58" s="17">
        <v>1920</v>
      </c>
      <c r="B58" s="18">
        <v>8.83</v>
      </c>
      <c r="C58" s="18">
        <v>0.51</v>
      </c>
      <c r="D58" s="18">
        <v>0.8</v>
      </c>
      <c r="E58" s="18">
        <v>7.3</v>
      </c>
      <c r="F58" s="18">
        <v>4.97</v>
      </c>
      <c r="G58" s="18">
        <v>19.3</v>
      </c>
      <c r="H58" s="19">
        <f>(1+E58/100)*G58/G59</f>
        <v>1.08994210526316</v>
      </c>
      <c r="I58" s="21">
        <f>'Consumption'!G36</f>
        <v>4637.2132854993</v>
      </c>
      <c r="J58" s="19">
        <f>J57+1</f>
        <v>1920</v>
      </c>
      <c r="K58" s="19">
        <f>B58*$G$151/G58</f>
        <v>105.356082901554</v>
      </c>
      <c r="L58" s="19">
        <f>O58+L59/(1+'Calculations'!$E$3)</f>
        <v>164.714324221798</v>
      </c>
      <c r="M58" s="19">
        <f>O58+M59/(H58+'Calculations'!$E$3-'Calculations'!$E$1+1)</f>
        <v>161.758080855592</v>
      </c>
      <c r="N58" s="21">
        <f>(I58/I59)^4*(O58+N59)</f>
        <v>124.525734546255</v>
      </c>
      <c r="O58" s="19">
        <f>C58*$G$151/G59</f>
        <v>6.1812</v>
      </c>
      <c r="P58" s="19">
        <f>(K59-K58+O58)/K58</f>
        <v>-0.123407045359715</v>
      </c>
      <c r="Q58" s="19">
        <f>LN(1+P58)</f>
        <v>-0.13171252817291</v>
      </c>
      <c r="R58" s="19">
        <f>D58*$G$151/G59</f>
        <v>9.696</v>
      </c>
      <c r="S58" s="19">
        <f>K58/R57</f>
        <v>9.49462365591396</v>
      </c>
      <c r="T58" s="19">
        <f>AVERAGE(R49:R58)</f>
        <v>16.2949003810597</v>
      </c>
      <c r="U58" s="19">
        <f>K58/T57</f>
        <v>6.14437160403819</v>
      </c>
      <c r="V58" s="11"/>
      <c r="W58" s="11"/>
      <c r="X58" s="11"/>
      <c r="Y58" s="11"/>
      <c r="Z58" s="11"/>
      <c r="AA58" s="11"/>
      <c r="AB58" s="13"/>
    </row>
    <row r="59" ht="15" customHeight="1">
      <c r="A59" s="17">
        <v>1921</v>
      </c>
      <c r="B59" s="18">
        <v>7.11</v>
      </c>
      <c r="C59" s="18">
        <v>0.46</v>
      </c>
      <c r="D59" s="18">
        <v>0.29</v>
      </c>
      <c r="E59" s="18">
        <v>7.44</v>
      </c>
      <c r="F59" s="18">
        <v>5.09</v>
      </c>
      <c r="G59" s="18">
        <v>19</v>
      </c>
      <c r="H59" s="19">
        <f>(1+E59/100)*G59/G60</f>
        <v>1.20790532544379</v>
      </c>
      <c r="I59" s="21">
        <f>'Consumption'!G37</f>
        <v>4842.813954248860</v>
      </c>
      <c r="J59" s="19">
        <f>J58+1</f>
        <v>1921</v>
      </c>
      <c r="K59" s="19">
        <f>B59*$G$151/G59</f>
        <v>86.17319999999999</v>
      </c>
      <c r="L59" s="19">
        <f>O59+L60/(1+'Calculations'!$E$3)</f>
        <v>168.886649191272</v>
      </c>
      <c r="M59" s="19">
        <f>O59+M60/(H59+'Calculations'!$E$3-'Calculations'!$E$1+1)</f>
        <v>175.495534637607</v>
      </c>
      <c r="N59" s="21">
        <f>(I59/I60)^4*(O59+N60)</f>
        <v>141.941618405040</v>
      </c>
      <c r="O59" s="19">
        <f>C59*$G$151/G60</f>
        <v>6.26797633136095</v>
      </c>
      <c r="P59" s="19">
        <f>(K60-K59+O59)/K59</f>
        <v>0.227040837556903</v>
      </c>
      <c r="Q59" s="19">
        <f>LN(1+P59)</f>
        <v>0.20460544761739</v>
      </c>
      <c r="R59" s="19">
        <f>D59*$G$151/G60</f>
        <v>3.95155029585799</v>
      </c>
      <c r="S59" s="19">
        <f>K59/R58</f>
        <v>8.887499999999999</v>
      </c>
      <c r="T59" s="19">
        <f>AVERAGE(R50:R59)</f>
        <v>15.2025896166153</v>
      </c>
      <c r="U59" s="19">
        <f>K59/T58</f>
        <v>5.28835390120967</v>
      </c>
      <c r="V59" s="11"/>
      <c r="W59" s="11"/>
      <c r="X59" s="11"/>
      <c r="Y59" s="11"/>
      <c r="Z59" s="11"/>
      <c r="AA59" s="11"/>
      <c r="AB59" s="13"/>
    </row>
    <row r="60" ht="15" customHeight="1">
      <c r="A60" s="17">
        <v>1922</v>
      </c>
      <c r="B60" s="18">
        <v>7.3</v>
      </c>
      <c r="C60" s="18">
        <v>0.51</v>
      </c>
      <c r="D60" s="18">
        <v>0.6899999999999999</v>
      </c>
      <c r="E60" s="18">
        <v>4.58</v>
      </c>
      <c r="F60" s="18">
        <v>4.3</v>
      </c>
      <c r="G60" s="18">
        <v>16.9</v>
      </c>
      <c r="H60" s="19">
        <f>(1+E60/100)*G60/G61</f>
        <v>1.052025</v>
      </c>
      <c r="I60" s="21">
        <f>'Consumption'!G38</f>
        <v>4952.360564866460</v>
      </c>
      <c r="J60" s="19">
        <f>J59+1</f>
        <v>1922</v>
      </c>
      <c r="K60" s="19">
        <f>B60*$G$151/G60</f>
        <v>99.4700591715976</v>
      </c>
      <c r="L60" s="19">
        <f>O60+L61/(1+'Calculations'!$E$3)</f>
        <v>173.239017965848</v>
      </c>
      <c r="M60" s="19">
        <f>O60+M61/(H60+'Calculations'!$E$3-'Calculations'!$E$1+1)</f>
        <v>210.856548829723</v>
      </c>
      <c r="N60" s="21">
        <f>(I60/I61)^4*(O60+N61)</f>
        <v>148.959157632482</v>
      </c>
      <c r="O60" s="19">
        <f>C60*$G$151/G61</f>
        <v>6.99064285714286</v>
      </c>
      <c r="P60" s="19">
        <f>(K61-K60+O60)/K60</f>
        <v>0.296713959556421</v>
      </c>
      <c r="Q60" s="19">
        <f>LN(1+P60)</f>
        <v>0.259833340962754</v>
      </c>
      <c r="R60" s="19">
        <f>D60*$G$151/G61</f>
        <v>9.457928571428569</v>
      </c>
      <c r="S60" s="19">
        <f>K60/R59</f>
        <v>25.1724137931034</v>
      </c>
      <c r="T60" s="19">
        <f>AVERAGE(R51:R60)</f>
        <v>14.5035253309011</v>
      </c>
      <c r="U60" s="19">
        <f>K60/T59</f>
        <v>6.54296811793724</v>
      </c>
      <c r="V60" s="11"/>
      <c r="W60" s="11"/>
      <c r="X60" s="11"/>
      <c r="Y60" s="11"/>
      <c r="Z60" s="11"/>
      <c r="AA60" s="11"/>
      <c r="AB60" s="13"/>
    </row>
    <row r="61" ht="15" customHeight="1">
      <c r="A61" s="17">
        <v>1923</v>
      </c>
      <c r="B61" s="18">
        <v>8.9</v>
      </c>
      <c r="C61" s="18">
        <v>0.53</v>
      </c>
      <c r="D61" s="18">
        <v>0.98</v>
      </c>
      <c r="E61" s="18">
        <v>4.96</v>
      </c>
      <c r="F61" s="18">
        <v>4.36</v>
      </c>
      <c r="G61" s="18">
        <v>16.8</v>
      </c>
      <c r="H61" s="19">
        <f>(1+E61/100)*G61/G62</f>
        <v>1.01926473988439</v>
      </c>
      <c r="I61" s="21">
        <f>'Consumption'!G39</f>
        <v>5310.284846517730</v>
      </c>
      <c r="J61" s="19">
        <f>J60+1</f>
        <v>1923</v>
      </c>
      <c r="K61" s="19">
        <f>B61*$G$151/G61</f>
        <v>121.993571428571</v>
      </c>
      <c r="L61" s="19">
        <f>O61+L62/(1+'Calculations'!$E$3)</f>
        <v>177.105769809476</v>
      </c>
      <c r="M61" s="19">
        <f>O61+M62/(H61+'Calculations'!$E$3-'Calculations'!$E$1+1)</f>
        <v>222.237043855456</v>
      </c>
      <c r="N61" s="21">
        <f>(I61/I62)^4*(O61+N62)</f>
        <v>189.929186559105</v>
      </c>
      <c r="O61" s="19">
        <f>C61*$G$151/G62</f>
        <v>7.05482080924855</v>
      </c>
      <c r="P61" s="19">
        <f>(K62-K61+O61)/K61</f>
        <v>0.0212898616613685</v>
      </c>
      <c r="Q61" s="19">
        <f>LN(1+P61)</f>
        <v>0.0210663986568924</v>
      </c>
      <c r="R61" s="19">
        <f>D61*$G$151/G62</f>
        <v>13.0447630057803</v>
      </c>
      <c r="S61" s="19">
        <f>K61/R60</f>
        <v>12.8985507246376</v>
      </c>
      <c r="T61" s="19">
        <f>AVERAGE(R52:R61)</f>
        <v>14.3572376314791</v>
      </c>
      <c r="U61" s="19">
        <f>K61/T60</f>
        <v>8.41130474455424</v>
      </c>
      <c r="V61" s="11"/>
      <c r="W61" s="11"/>
      <c r="X61" s="11"/>
      <c r="Y61" s="11"/>
      <c r="Z61" s="11"/>
      <c r="AA61" s="11"/>
      <c r="AB61" s="13"/>
    </row>
    <row r="62" ht="15" customHeight="1">
      <c r="A62" s="17">
        <v>1924</v>
      </c>
      <c r="B62" s="18">
        <v>8.83</v>
      </c>
      <c r="C62" s="18">
        <v>0.55</v>
      </c>
      <c r="D62" s="18">
        <v>0.93</v>
      </c>
      <c r="E62" s="18">
        <v>4.34</v>
      </c>
      <c r="F62" s="18">
        <v>4.06</v>
      </c>
      <c r="G62" s="18">
        <v>17.3</v>
      </c>
      <c r="H62" s="19">
        <f>(1+E62/100)*G62/G63</f>
        <v>1.0434</v>
      </c>
      <c r="I62" s="21">
        <f>'Consumption'!G40</f>
        <v>5595.713523208110</v>
      </c>
      <c r="J62" s="19">
        <f>J61+1</f>
        <v>1924</v>
      </c>
      <c r="K62" s="19">
        <f>B62*$G$151/G62</f>
        <v>117.535976878613</v>
      </c>
      <c r="L62" s="19">
        <f>O62+L63/(1+'Calculations'!$E$3)</f>
        <v>181.156683244721</v>
      </c>
      <c r="M62" s="19">
        <f>O62+M63/(H62+'Calculations'!$E$3-'Calculations'!$E$1+1)</f>
        <v>227.523692018890</v>
      </c>
      <c r="N62" s="21">
        <f>(I62/I63)^4*(O62+N63)</f>
        <v>227.121149096646</v>
      </c>
      <c r="O62" s="19">
        <f>C62*$G$151/G63</f>
        <v>7.32104046242775</v>
      </c>
      <c r="P62" s="19">
        <f>(K63-K62+O62)/K62</f>
        <v>0.260475651189126</v>
      </c>
      <c r="Q62" s="19">
        <f>LN(1+P62)</f>
        <v>0.231489150671583</v>
      </c>
      <c r="R62" s="19">
        <f>D62*$G$151/G63</f>
        <v>12.3792138728324</v>
      </c>
      <c r="S62" s="19">
        <f>K62/R61</f>
        <v>9.010204081632709</v>
      </c>
      <c r="T62" s="19">
        <f>AVERAGE(R53:R62)</f>
        <v>14.4095590187623</v>
      </c>
      <c r="U62" s="19">
        <f>K62/T61</f>
        <v>8.186531413320649</v>
      </c>
      <c r="V62" s="11"/>
      <c r="W62" s="11"/>
      <c r="X62" s="11"/>
      <c r="Y62" s="11"/>
      <c r="Z62" s="11"/>
      <c r="AA62" s="11"/>
      <c r="AB62" s="13"/>
    </row>
    <row r="63" ht="15" customHeight="1">
      <c r="A63" s="17">
        <v>1925</v>
      </c>
      <c r="B63" s="18">
        <v>10.58</v>
      </c>
      <c r="C63" s="18">
        <v>0.6</v>
      </c>
      <c r="D63" s="18">
        <v>1.25</v>
      </c>
      <c r="E63" s="18">
        <v>3.87</v>
      </c>
      <c r="F63" s="18">
        <v>3.86</v>
      </c>
      <c r="G63" s="18">
        <v>17.3</v>
      </c>
      <c r="H63" s="19">
        <f>(1+E63/100)*G63/G64</f>
        <v>1.00388324022346</v>
      </c>
      <c r="I63" s="21">
        <f>'Consumption'!G41</f>
        <v>5351.595638189750</v>
      </c>
      <c r="J63" s="19">
        <f>J62+1</f>
        <v>1925</v>
      </c>
      <c r="K63" s="19">
        <f>B63*$G$151/G63</f>
        <v>140.830196531792</v>
      </c>
      <c r="L63" s="19">
        <f>O63+L64/(1+'Calculations'!$E$3)</f>
        <v>185.188548851393</v>
      </c>
      <c r="M63" s="19">
        <f>O63+M64/(H63+'Calculations'!$E$3-'Calculations'!$E$1+1)</f>
        <v>238.146708307143</v>
      </c>
      <c r="N63" s="21">
        <f>(I63/I64)^4*(O63+N64)</f>
        <v>182.685631745604</v>
      </c>
      <c r="O63" s="19">
        <f>C63*$G$151/G64</f>
        <v>7.71888268156425</v>
      </c>
      <c r="P63" s="19">
        <f>(K64-K63+O63)/K63</f>
        <v>0.210384302626438</v>
      </c>
      <c r="Q63" s="19">
        <f>LN(1+P63)</f>
        <v>0.190937914659102</v>
      </c>
      <c r="R63" s="19">
        <f>D63*$G$151/G64</f>
        <v>16.0810055865922</v>
      </c>
      <c r="S63" s="19">
        <f>K63/R62</f>
        <v>11.3763440860215</v>
      </c>
      <c r="T63" s="19">
        <f>AVERAGE(R54:R63)</f>
        <v>14.0691365004985</v>
      </c>
      <c r="U63" s="19">
        <f>K63/T62</f>
        <v>9.773386982101311</v>
      </c>
      <c r="V63" s="11"/>
      <c r="W63" s="11"/>
      <c r="X63" s="11"/>
      <c r="Y63" s="11"/>
      <c r="Z63" s="11"/>
      <c r="AA63" s="11"/>
      <c r="AB63" s="13"/>
    </row>
    <row r="64" ht="15" customHeight="1">
      <c r="A64" s="17">
        <v>1926</v>
      </c>
      <c r="B64" s="18">
        <v>12.65</v>
      </c>
      <c r="C64" s="18">
        <v>0.6899999999999999</v>
      </c>
      <c r="D64" s="18">
        <v>1.24</v>
      </c>
      <c r="E64" s="18">
        <v>4.28</v>
      </c>
      <c r="F64" s="18">
        <v>3.68</v>
      </c>
      <c r="G64" s="18">
        <v>17.9</v>
      </c>
      <c r="H64" s="19">
        <f>(1+E64/100)*G64/G65</f>
        <v>1.06663542857143</v>
      </c>
      <c r="I64" s="21">
        <f>'Consumption'!G42</f>
        <v>5712.110577558770</v>
      </c>
      <c r="J64" s="19">
        <f>J63+1</f>
        <v>1926</v>
      </c>
      <c r="K64" s="19">
        <f>B64*$G$151/G64</f>
        <v>162.739776536313</v>
      </c>
      <c r="L64" s="19">
        <f>O64+L65/(1+'Calculations'!$E$3)</f>
        <v>189.059904039883</v>
      </c>
      <c r="M64" s="19">
        <f>O64+M65/(H64+'Calculations'!$E$3-'Calculations'!$E$1+1)</f>
        <v>240.099358831130</v>
      </c>
      <c r="N64" s="21">
        <f>(I64/I65)^4*(O64+N65)</f>
        <v>229.395365472599</v>
      </c>
      <c r="O64" s="19">
        <f>C64*$G$151/G65</f>
        <v>9.079611428571431</v>
      </c>
      <c r="P64" s="19">
        <f>(K65-K64+O64)/K64</f>
        <v>0.139293054771316</v>
      </c>
      <c r="Q64" s="19">
        <f>LN(1+P64)</f>
        <v>0.130407942654301</v>
      </c>
      <c r="R64" s="19">
        <f>D64*$G$151/G65</f>
        <v>16.3169828571429</v>
      </c>
      <c r="S64" s="19">
        <f>K64/R63</f>
        <v>10.12</v>
      </c>
      <c r="T64" s="19">
        <f>AVERAGE(R55:R64)</f>
        <v>12.6894809400589</v>
      </c>
      <c r="U64" s="19">
        <f>K64/T63</f>
        <v>11.5671474600127</v>
      </c>
      <c r="V64" s="11"/>
      <c r="W64" s="11"/>
      <c r="X64" s="11"/>
      <c r="Y64" s="11"/>
      <c r="Z64" s="11"/>
      <c r="AA64" s="11"/>
      <c r="AB64" s="13"/>
    </row>
    <row r="65" ht="15" customHeight="1">
      <c r="A65" s="17">
        <v>1927</v>
      </c>
      <c r="B65" s="18">
        <v>13.4</v>
      </c>
      <c r="C65" s="18">
        <v>0.77</v>
      </c>
      <c r="D65" s="18">
        <v>1.11</v>
      </c>
      <c r="E65" s="18">
        <v>4.26</v>
      </c>
      <c r="F65" s="18">
        <v>3.34</v>
      </c>
      <c r="G65" s="18">
        <v>17.5</v>
      </c>
      <c r="H65" s="19">
        <f>(1+E65/100)*G65/G66</f>
        <v>1.05465317919075</v>
      </c>
      <c r="I65" s="21">
        <f>'Consumption'!G43</f>
        <v>5760.196755660480</v>
      </c>
      <c r="J65" s="19">
        <f>J64+1</f>
        <v>1927</v>
      </c>
      <c r="K65" s="19">
        <f>B65*$G$151/G65</f>
        <v>176.328685714286</v>
      </c>
      <c r="L65" s="19">
        <f>O65+L66/(1+'Calculations'!$E$3)</f>
        <v>191.734495164952</v>
      </c>
      <c r="M65" s="19">
        <f>O65+M66/(H65+'Calculations'!$E$3-'Calculations'!$E$1+1)</f>
        <v>255.213119492446</v>
      </c>
      <c r="N65" s="21">
        <f>(I65/I66)^4*(O65+N66)</f>
        <v>228.138305498610</v>
      </c>
      <c r="O65" s="19">
        <f>C65*$G$151/G66</f>
        <v>10.2494566473988</v>
      </c>
      <c r="P65" s="19">
        <f>(K66-K65+O65)/K65</f>
        <v>0.381459753256836</v>
      </c>
      <c r="Q65" s="19">
        <f>LN(1+P65)</f>
        <v>0.323140732316244</v>
      </c>
      <c r="R65" s="19">
        <f>D65*$G$151/G66</f>
        <v>14.7751907514451</v>
      </c>
      <c r="S65" s="19">
        <f>K65/R64</f>
        <v>10.8064516129032</v>
      </c>
      <c r="T65" s="19">
        <f>AVERAGE(R56:R65)</f>
        <v>12.0615828723463</v>
      </c>
      <c r="U65" s="19">
        <f>K65/T64</f>
        <v>13.8956578718394</v>
      </c>
      <c r="V65" s="11"/>
      <c r="W65" s="11"/>
      <c r="X65" s="11"/>
      <c r="Y65" s="11"/>
      <c r="Z65" s="11"/>
      <c r="AA65" s="11"/>
      <c r="AB65" s="13"/>
    </row>
    <row r="66" ht="15" customHeight="1">
      <c r="A66" s="17">
        <v>1928</v>
      </c>
      <c r="B66" s="18">
        <v>17.53</v>
      </c>
      <c r="C66" s="18">
        <v>0.85</v>
      </c>
      <c r="D66" s="18">
        <v>1.38</v>
      </c>
      <c r="E66" s="18">
        <v>4.64</v>
      </c>
      <c r="F66" s="18">
        <v>3.33</v>
      </c>
      <c r="G66" s="18">
        <v>17.3</v>
      </c>
      <c r="H66" s="19">
        <f>(1+E66/100)*G66/G67</f>
        <v>1.05863859649123</v>
      </c>
      <c r="I66" s="21">
        <f>'Consumption'!G44</f>
        <v>5818.535580856940</v>
      </c>
      <c r="J66" s="19">
        <f>J65+1</f>
        <v>1928</v>
      </c>
      <c r="K66" s="19">
        <f>B66*$G$151/G66</f>
        <v>233.341526011561</v>
      </c>
      <c r="L66" s="19">
        <f>O66+L67/(1+'Calculations'!$E$3)</f>
        <v>193.337513431556</v>
      </c>
      <c r="M66" s="19">
        <f>O66+M67/(H66+'Calculations'!$E$3-'Calculations'!$E$1+1)</f>
        <v>267.682085463602</v>
      </c>
      <c r="N66" s="21">
        <f>(I66/I67)^4*(O66+N67)</f>
        <v>227.272474866321</v>
      </c>
      <c r="O66" s="19">
        <f>C66*$G$151/G67</f>
        <v>11.4466666666667</v>
      </c>
      <c r="P66" s="19">
        <f>(K67-K66+O66)/K66</f>
        <v>0.48378218792846</v>
      </c>
      <c r="Q66" s="19">
        <f>LN(1+P66)</f>
        <v>0.394594360339772</v>
      </c>
      <c r="R66" s="19">
        <f>D66*$G$151/G67</f>
        <v>18.584</v>
      </c>
      <c r="S66" s="19">
        <f>K66/R65</f>
        <v>15.7927927927928</v>
      </c>
      <c r="T66" s="19">
        <f>AVERAGE(R57:R66)</f>
        <v>12.5383028723463</v>
      </c>
      <c r="U66" s="19">
        <f>K66/T65</f>
        <v>19.3458461033788</v>
      </c>
      <c r="V66" s="11"/>
      <c r="W66" s="11"/>
      <c r="X66" s="11"/>
      <c r="Y66" s="11"/>
      <c r="Z66" s="11"/>
      <c r="AA66" s="11"/>
      <c r="AB66" s="13"/>
    </row>
    <row r="67" ht="15" customHeight="1">
      <c r="A67" s="17">
        <v>1929</v>
      </c>
      <c r="B67" s="18">
        <v>24.86</v>
      </c>
      <c r="C67" s="18">
        <v>0.97</v>
      </c>
      <c r="D67" s="18">
        <v>1.61</v>
      </c>
      <c r="E67" s="18">
        <v>6.01</v>
      </c>
      <c r="F67" s="18">
        <v>3.6</v>
      </c>
      <c r="G67" s="18">
        <v>17.1</v>
      </c>
      <c r="H67" s="19">
        <f>(1+E67/100)*G67/G68</f>
        <v>1.0601</v>
      </c>
      <c r="I67" s="21">
        <f>'Consumption'!G45</f>
        <v>6071.470983753470</v>
      </c>
      <c r="J67" s="19">
        <f>J66+1</f>
        <v>1929</v>
      </c>
      <c r="K67" s="19">
        <f>B67*$G$151/G67</f>
        <v>334.781333333333</v>
      </c>
      <c r="L67" s="19">
        <f>O67+L68/(1+'Calculations'!$E$3)</f>
        <v>193.769824315753</v>
      </c>
      <c r="M67" s="19">
        <f>O67+M68/(H67+'Calculations'!$E$3-'Calculations'!$E$1+1)</f>
        <v>281.020411796639</v>
      </c>
      <c r="N67" s="21">
        <f>(I67/I68)^4*(O67+N68)</f>
        <v>257.996862849280</v>
      </c>
      <c r="O67" s="19">
        <f>C67*$G$151/G68</f>
        <v>13.0626666666667</v>
      </c>
      <c r="P67" s="19">
        <f>(K68-K67+O67)/K67</f>
        <v>-0.0876910699919549</v>
      </c>
      <c r="Q67" s="19">
        <f>LN(1+P67)</f>
        <v>-0.0917766072230136</v>
      </c>
      <c r="R67" s="19">
        <f>D67*$G$151/G68</f>
        <v>21.6813333333333</v>
      </c>
      <c r="S67" s="19">
        <f>K67/R66</f>
        <v>18.0144927536232</v>
      </c>
      <c r="T67" s="19">
        <f>AVERAGE(R58:R67)</f>
        <v>13.5967968274413</v>
      </c>
      <c r="U67" s="19">
        <f>K67/T66</f>
        <v>26.7006896181864</v>
      </c>
      <c r="V67" s="11"/>
      <c r="W67" s="11"/>
      <c r="X67" s="11"/>
      <c r="Y67" s="11"/>
      <c r="Z67" s="11"/>
      <c r="AA67" s="11"/>
      <c r="AB67" s="13"/>
    </row>
    <row r="68" ht="15" customHeight="1">
      <c r="A68" s="17">
        <v>1930</v>
      </c>
      <c r="B68" s="18">
        <v>21.71</v>
      </c>
      <c r="C68" s="18">
        <v>0.98</v>
      </c>
      <c r="D68" s="18">
        <v>0.97</v>
      </c>
      <c r="E68" s="18">
        <v>4.15</v>
      </c>
      <c r="F68" s="18">
        <v>3.29</v>
      </c>
      <c r="G68" s="18">
        <v>17.1</v>
      </c>
      <c r="H68" s="19">
        <f>(1+E68/100)*G68/G69</f>
        <v>1.12010377358491</v>
      </c>
      <c r="I68" s="21">
        <f>'Consumption'!G46</f>
        <v>5686.178628387070</v>
      </c>
      <c r="J68" s="19">
        <f>J67+1</f>
        <v>1930</v>
      </c>
      <c r="K68" s="19">
        <f>B68*$G$151/G68</f>
        <v>292.361333333333</v>
      </c>
      <c r="L68" s="19">
        <f>O68+L69/(1+'Calculations'!$E$3)</f>
        <v>192.508830504942</v>
      </c>
      <c r="M68" s="19">
        <f>O68+M69/(H68+'Calculations'!$E$3-'Calculations'!$E$1+1)</f>
        <v>294.268202993929</v>
      </c>
      <c r="N68" s="21">
        <f>(I68/I69)^4*(O68+N69)</f>
        <v>185.419149267664</v>
      </c>
      <c r="O68" s="19">
        <f>C68*$G$151/G69</f>
        <v>14.193358490566</v>
      </c>
      <c r="P68" s="19">
        <f>(K69-K68+O68)/K68</f>
        <v>-0.159834177798249</v>
      </c>
      <c r="Q68" s="19">
        <f>LN(1+P68)</f>
        <v>-0.174155999244014</v>
      </c>
      <c r="R68" s="19">
        <f>D68*$G$151/G69</f>
        <v>14.0485283018868</v>
      </c>
      <c r="S68" s="19">
        <f>K68/R67</f>
        <v>13.4844720496894</v>
      </c>
      <c r="T68" s="19">
        <f>AVERAGE(R59:R68)</f>
        <v>14.032049657630</v>
      </c>
      <c r="U68" s="19">
        <f>K68/T67</f>
        <v>21.5022212248759</v>
      </c>
      <c r="V68" s="11"/>
      <c r="W68" s="11"/>
      <c r="X68" s="11"/>
      <c r="Y68" s="11"/>
      <c r="Z68" s="11"/>
      <c r="AA68" s="11"/>
      <c r="AB68" s="13"/>
    </row>
    <row r="69" ht="15" customHeight="1">
      <c r="A69" s="17">
        <v>1931</v>
      </c>
      <c r="B69" s="18">
        <v>15.98</v>
      </c>
      <c r="C69" s="18">
        <v>0.82</v>
      </c>
      <c r="D69" s="18">
        <v>0.61</v>
      </c>
      <c r="E69" s="18">
        <v>2.43</v>
      </c>
      <c r="F69" s="18">
        <v>3.34</v>
      </c>
      <c r="G69" s="18">
        <v>15.9</v>
      </c>
      <c r="H69" s="19">
        <f>(1+E69/100)*G69/G70</f>
        <v>1.13890699300699</v>
      </c>
      <c r="I69" s="21">
        <f>'Consumption'!G47</f>
        <v>5469.072498944680</v>
      </c>
      <c r="J69" s="19">
        <f>J68+1</f>
        <v>1931</v>
      </c>
      <c r="K69" s="19">
        <f>B69*$G$151/G69</f>
        <v>231.438641509434</v>
      </c>
      <c r="L69" s="19">
        <f>O69+L70/(1+'Calculations'!$E$3)</f>
        <v>189.960948005636</v>
      </c>
      <c r="M69" s="19">
        <f>O69+M70/(H69+'Calculations'!$E$3-'Calculations'!$E$1+1)</f>
        <v>324.380613751388</v>
      </c>
      <c r="N69" s="21">
        <f>(I69/I70)^4*(O69+N70)</f>
        <v>144.488512044929</v>
      </c>
      <c r="O69" s="19">
        <f>C69*$G$151/G70</f>
        <v>13.2048671328671</v>
      </c>
      <c r="P69" s="19">
        <f>(K70-K69+O69)/K69</f>
        <v>-0.365430564429313</v>
      </c>
      <c r="Q69" s="19">
        <f>LN(1+P69)</f>
        <v>-0.454808564291565</v>
      </c>
      <c r="R69" s="19">
        <f>D69*$G$151/G70</f>
        <v>9.82313286713287</v>
      </c>
      <c r="S69" s="19">
        <f>K69/R68</f>
        <v>16.4742268041237</v>
      </c>
      <c r="T69" s="19">
        <f>AVERAGE(R60:R69)</f>
        <v>14.6192079147574</v>
      </c>
      <c r="U69" s="19">
        <f>K69/T68</f>
        <v>16.4935734376901</v>
      </c>
      <c r="V69" s="11"/>
      <c r="W69" s="11"/>
      <c r="X69" s="11"/>
      <c r="Y69" s="11"/>
      <c r="Z69" s="11"/>
      <c r="AA69" s="11"/>
      <c r="AB69" s="13"/>
    </row>
    <row r="70" ht="15" customHeight="1">
      <c r="A70" s="17">
        <v>1932</v>
      </c>
      <c r="B70" s="18">
        <v>8.300000000000001</v>
      </c>
      <c r="C70" s="18">
        <v>0.5</v>
      </c>
      <c r="D70" s="18">
        <v>0.41</v>
      </c>
      <c r="E70" s="18">
        <v>3.36</v>
      </c>
      <c r="F70" s="18">
        <v>3.68</v>
      </c>
      <c r="G70" s="18">
        <v>14.3</v>
      </c>
      <c r="H70" s="19">
        <f>(1+E70/100)*G70/G71</f>
        <v>1.14577364341085</v>
      </c>
      <c r="I70" s="21">
        <f>'Consumption'!G48</f>
        <v>4951.900583319120</v>
      </c>
      <c r="J70" s="19">
        <f>J69+1</f>
        <v>1932</v>
      </c>
      <c r="K70" s="19">
        <f>B70*$G$151/G70</f>
        <v>133.659020979021</v>
      </c>
      <c r="L70" s="19">
        <f>O70+L71/(1+'Calculations'!$E$3)</f>
        <v>188.299715717574</v>
      </c>
      <c r="M70" s="19">
        <f>O70+M71/(H70+'Calculations'!$E$3-'Calculations'!$E$1+1)</f>
        <v>366.252554432609</v>
      </c>
      <c r="N70" s="21">
        <f>(I70/I71)^4*(O70+N71)</f>
        <v>83.9056495268662</v>
      </c>
      <c r="O70" s="19">
        <f>C70*$G$151/G71</f>
        <v>8.925581395348839</v>
      </c>
      <c r="P70" s="19">
        <f>(K71-K70+O70)/K70</f>
        <v>0.0137013168954924</v>
      </c>
      <c r="Q70" s="19">
        <f>LN(1+P70)</f>
        <v>0.013608302503225</v>
      </c>
      <c r="R70" s="19">
        <f>D70*$G$151/G71</f>
        <v>7.31897674418605</v>
      </c>
      <c r="S70" s="19">
        <f>K70/R69</f>
        <v>13.6065573770492</v>
      </c>
      <c r="T70" s="19">
        <f>AVERAGE(R61:R70)</f>
        <v>14.4053127320332</v>
      </c>
      <c r="U70" s="19">
        <f>K70/T69</f>
        <v>9.14269923229552</v>
      </c>
      <c r="V70" s="11"/>
      <c r="W70" s="11"/>
      <c r="X70" s="11"/>
      <c r="Y70" s="11"/>
      <c r="Z70" s="11"/>
      <c r="AA70" s="11"/>
      <c r="AB70" s="13"/>
    </row>
    <row r="71" ht="15" customHeight="1">
      <c r="A71" s="17">
        <v>1933</v>
      </c>
      <c r="B71" s="18">
        <v>7.09</v>
      </c>
      <c r="C71" s="18">
        <v>0.44</v>
      </c>
      <c r="D71" s="18">
        <v>0.44</v>
      </c>
      <c r="E71" s="18">
        <v>1.46</v>
      </c>
      <c r="F71" s="18">
        <v>3.31</v>
      </c>
      <c r="G71" s="18">
        <v>12.9</v>
      </c>
      <c r="H71" s="19">
        <f>(1+E71/100)*G71/G72</f>
        <v>0.991540909090909</v>
      </c>
      <c r="I71" s="21">
        <f>'Consumption'!G49</f>
        <v>4815.926239348620</v>
      </c>
      <c r="J71" s="19">
        <f>J70+1</f>
        <v>1933</v>
      </c>
      <c r="K71" s="19">
        <f>B71*$G$151/G71</f>
        <v>126.564744186047</v>
      </c>
      <c r="L71" s="19">
        <f>O71+L72/(1+'Calculations'!$E$3)</f>
        <v>191.088749723260</v>
      </c>
      <c r="M71" s="19">
        <f>O71+M72/(H71+'Calculations'!$E$3-'Calculations'!$E$1+1)</f>
        <v>423.025994623316</v>
      </c>
      <c r="N71" s="21">
        <f>(I71/I72)^4*(O71+N72)</f>
        <v>66.1368870709487</v>
      </c>
      <c r="O71" s="19">
        <f>C71*$G$151/G72</f>
        <v>7.676</v>
      </c>
      <c r="P71" s="19">
        <f>(K72-K71+O71)/K71</f>
        <v>0.513463264521087</v>
      </c>
      <c r="Q71" s="19">
        <f>LN(1+P71)</f>
        <v>0.414400577312646</v>
      </c>
      <c r="R71" s="19">
        <f>D71*$G$151/G72</f>
        <v>7.676</v>
      </c>
      <c r="S71" s="19">
        <f>K71/R70</f>
        <v>17.2926829268293</v>
      </c>
      <c r="T71" s="19">
        <f>AVERAGE(R62:R71)</f>
        <v>13.8684364314552</v>
      </c>
      <c r="U71" s="19">
        <f>K71/T70</f>
        <v>8.78597685037438</v>
      </c>
      <c r="V71" s="11"/>
      <c r="W71" s="11"/>
      <c r="X71" s="11"/>
      <c r="Y71" s="11"/>
      <c r="Z71" s="11"/>
      <c r="AA71" s="11"/>
      <c r="AB71" s="13"/>
    </row>
    <row r="72" ht="15" customHeight="1">
      <c r="A72" s="17">
        <v>1934</v>
      </c>
      <c r="B72" s="18">
        <v>10.54</v>
      </c>
      <c r="C72" s="18">
        <v>0.45</v>
      </c>
      <c r="D72" s="18">
        <v>0.49</v>
      </c>
      <c r="E72" s="18">
        <v>1.01</v>
      </c>
      <c r="F72" s="18">
        <v>3.12</v>
      </c>
      <c r="G72" s="18">
        <v>13.2</v>
      </c>
      <c r="H72" s="19">
        <f>(1+E72/100)*G72/G73</f>
        <v>0.980391176470588</v>
      </c>
      <c r="I72" s="21">
        <f>'Consumption'!G50</f>
        <v>5123.656959072060</v>
      </c>
      <c r="J72" s="19">
        <f>J71+1</f>
        <v>1934</v>
      </c>
      <c r="K72" s="19">
        <f>B72*$G$151/G72</f>
        <v>183.875090909091</v>
      </c>
      <c r="L72" s="19">
        <f>O72+L73/(1+'Calculations'!$E$3)</f>
        <v>195.391120131976</v>
      </c>
      <c r="M72" s="19">
        <f>O72+M73/(H72+'Calculations'!$E$3-'Calculations'!$E$1+1)</f>
        <v>427.656707184757</v>
      </c>
      <c r="N72" s="21">
        <f>(I72/I73)^4*(O72+N73)</f>
        <v>77.05544699601791</v>
      </c>
      <c r="O72" s="19">
        <f>C72*$G$151/G73</f>
        <v>7.61955882352941</v>
      </c>
      <c r="P72" s="19">
        <f>(K73-K72+O72)/K72</f>
        <v>-0.105843286081037</v>
      </c>
      <c r="Q72" s="19">
        <f>LN(1+P72)</f>
        <v>-0.111874223959665</v>
      </c>
      <c r="R72" s="19">
        <f>D72*$G$151/G73</f>
        <v>8.29685294117647</v>
      </c>
      <c r="S72" s="19">
        <f>K72/R71</f>
        <v>23.9545454545455</v>
      </c>
      <c r="T72" s="19">
        <f>AVERAGE(R63:R72)</f>
        <v>13.4602003382896</v>
      </c>
      <c r="U72" s="19">
        <f>K72/T71</f>
        <v>13.258530752035</v>
      </c>
      <c r="V72" s="11"/>
      <c r="W72" s="11"/>
      <c r="X72" s="11"/>
      <c r="Y72" s="11"/>
      <c r="Z72" s="11"/>
      <c r="AA72" s="11"/>
      <c r="AB72" s="13"/>
    </row>
    <row r="73" ht="15" customHeight="1">
      <c r="A73" s="17">
        <v>1935</v>
      </c>
      <c r="B73" s="18">
        <v>9.26</v>
      </c>
      <c r="C73" s="18">
        <v>0.47</v>
      </c>
      <c r="D73" s="18">
        <v>0.76</v>
      </c>
      <c r="E73" s="18">
        <v>0.75</v>
      </c>
      <c r="F73" s="18">
        <v>2.79</v>
      </c>
      <c r="G73" s="18">
        <v>13.6</v>
      </c>
      <c r="H73" s="19">
        <f>(1+E73/100)*G73/G74</f>
        <v>0.992898550724638</v>
      </c>
      <c r="I73" s="21">
        <f>'Consumption'!G51</f>
        <v>5400.9604075974</v>
      </c>
      <c r="J73" s="19">
        <f>J72+1</f>
        <v>1935</v>
      </c>
      <c r="K73" s="19">
        <f>B73*$G$151/G73</f>
        <v>156.793588235294</v>
      </c>
      <c r="L73" s="19">
        <f>O73+L74/(1+'Calculations'!$E$3)</f>
        <v>200.034598185486</v>
      </c>
      <c r="M73" s="19">
        <f>O73+M74/(H73+'Calculations'!$E$3-'Calculations'!$E$1+1)</f>
        <v>427.799438176823</v>
      </c>
      <c r="N73" s="21">
        <f>(I73/I74)^4*(O73+N74)</f>
        <v>87.5213156089163</v>
      </c>
      <c r="O73" s="19">
        <f>C73*$G$151/G74</f>
        <v>7.84286956521739</v>
      </c>
      <c r="P73" s="19">
        <f>(K74-K73+O73)/K73</f>
        <v>0.514445800857669</v>
      </c>
      <c r="Q73" s="19">
        <f>LN(1+P73)</f>
        <v>0.415049564022519</v>
      </c>
      <c r="R73" s="19">
        <f>D73*$G$151/G74</f>
        <v>12.6820869565217</v>
      </c>
      <c r="S73" s="19">
        <f>K73/R72</f>
        <v>18.8979591836735</v>
      </c>
      <c r="T73" s="19">
        <f>AVERAGE(R64:R73)</f>
        <v>13.1203084752825</v>
      </c>
      <c r="U73" s="19">
        <f>K73/T72</f>
        <v>11.6486816165188</v>
      </c>
      <c r="V73" s="11"/>
      <c r="W73" s="11"/>
      <c r="X73" s="11"/>
      <c r="Y73" s="11"/>
      <c r="Z73" s="11"/>
      <c r="AA73" s="11"/>
      <c r="AB73" s="13"/>
    </row>
    <row r="74" ht="15" customHeight="1">
      <c r="A74" s="17">
        <v>1936</v>
      </c>
      <c r="B74" s="18">
        <v>13.76</v>
      </c>
      <c r="C74" s="18">
        <v>0.72</v>
      </c>
      <c r="D74" s="18">
        <v>1.02</v>
      </c>
      <c r="E74" s="18">
        <v>0.75</v>
      </c>
      <c r="F74" s="18">
        <v>2.65</v>
      </c>
      <c r="G74" s="18">
        <v>13.8</v>
      </c>
      <c r="H74" s="19">
        <f>(1+E74/100)*G74/G75</f>
        <v>0.9860638297872339</v>
      </c>
      <c r="I74" s="21">
        <f>'Consumption'!G52</f>
        <v>5909.390742775820</v>
      </c>
      <c r="J74" s="19">
        <f>J73+1</f>
        <v>1936</v>
      </c>
      <c r="K74" s="19">
        <f>B74*$G$151/G74</f>
        <v>229.612521739130</v>
      </c>
      <c r="L74" s="19">
        <f>O74+L75/(1+'Calculations'!$E$3)</f>
        <v>204.743439002336</v>
      </c>
      <c r="M74" s="19">
        <f>O74+M75/(H74+'Calculations'!$E$3-'Calculations'!$E$1+1)</f>
        <v>432.969923286864</v>
      </c>
      <c r="N74" s="21">
        <f>(I74/I75)^4*(O74+N75)</f>
        <v>117.586919730018</v>
      </c>
      <c r="O74" s="19">
        <f>C74*$G$151/G75</f>
        <v>11.7589787234043</v>
      </c>
      <c r="P74" s="19">
        <f>(K75-K74+O74)/K74</f>
        <v>0.302356506679862</v>
      </c>
      <c r="Q74" s="19">
        <f>LN(1+P74)</f>
        <v>0.264175320960259</v>
      </c>
      <c r="R74" s="19">
        <f>D74*$G$151/G75</f>
        <v>16.6585531914894</v>
      </c>
      <c r="S74" s="19">
        <f>K74/R73</f>
        <v>18.1052631578948</v>
      </c>
      <c r="T74" s="19">
        <f>AVERAGE(R65:R74)</f>
        <v>13.1544655087172</v>
      </c>
      <c r="U74" s="19">
        <f>K74/T73</f>
        <v>17.5005429309608</v>
      </c>
      <c r="V74" s="11"/>
      <c r="W74" s="11"/>
      <c r="X74" s="11"/>
      <c r="Y74" s="11"/>
      <c r="Z74" s="11"/>
      <c r="AA74" s="11"/>
      <c r="AB74" s="13"/>
    </row>
    <row r="75" ht="15" customHeight="1">
      <c r="A75" s="17">
        <v>1937</v>
      </c>
      <c r="B75" s="18">
        <v>17.59</v>
      </c>
      <c r="C75" s="18">
        <v>0.8</v>
      </c>
      <c r="D75" s="18">
        <v>1.13</v>
      </c>
      <c r="E75" s="18">
        <v>0.88</v>
      </c>
      <c r="F75" s="18">
        <v>2.68</v>
      </c>
      <c r="G75" s="18">
        <v>14.1</v>
      </c>
      <c r="H75" s="19">
        <f>(1+E75/100)*G75/G76</f>
        <v>1.00169577464789</v>
      </c>
      <c r="I75" s="21">
        <f>'Consumption'!G53</f>
        <v>6090.563298382390</v>
      </c>
      <c r="J75" s="19">
        <f>J74+1</f>
        <v>1937</v>
      </c>
      <c r="K75" s="19">
        <f>B75*$G$151/G75</f>
        <v>287.278382978723</v>
      </c>
      <c r="L75" s="19">
        <f>O75+L76/(1+'Calculations'!$E$3)</f>
        <v>205.587942598645</v>
      </c>
      <c r="M75" s="19">
        <f>O75+M76/(H75+'Calculations'!$E$3-'Calculations'!$E$1+1)</f>
        <v>431.384309803819</v>
      </c>
      <c r="N75" s="21">
        <f>(I75/I76)^4*(O75+N76)</f>
        <v>120.924860179560</v>
      </c>
      <c r="O75" s="19">
        <f>C75*$G$151/G76</f>
        <v>12.9735211267606</v>
      </c>
      <c r="P75" s="19">
        <f>(K76-K75+O75)/K75</f>
        <v>-0.316388953390611</v>
      </c>
      <c r="Q75" s="19">
        <f>LN(1+P75)</f>
        <v>-0.380366168407559</v>
      </c>
      <c r="R75" s="19">
        <f>D75*$G$151/G76</f>
        <v>18.3250985915493</v>
      </c>
      <c r="S75" s="19">
        <f>K75/R74</f>
        <v>17.2450980392156</v>
      </c>
      <c r="T75" s="19">
        <f>AVERAGE(R66:R75)</f>
        <v>13.5094562927276</v>
      </c>
      <c r="U75" s="19">
        <f>K75/T74</f>
        <v>21.8388487763603</v>
      </c>
      <c r="V75" s="11"/>
      <c r="W75" s="11"/>
      <c r="X75" s="11"/>
      <c r="Y75" s="11"/>
      <c r="Z75" s="11"/>
      <c r="AA75" s="11"/>
      <c r="AB75" s="13"/>
    </row>
    <row r="76" ht="15" customHeight="1">
      <c r="A76" s="17">
        <v>1938</v>
      </c>
      <c r="B76" s="18">
        <v>11.31</v>
      </c>
      <c r="C76" s="18">
        <v>0.51</v>
      </c>
      <c r="D76" s="18">
        <v>0.64</v>
      </c>
      <c r="E76" s="18">
        <v>0.88</v>
      </c>
      <c r="F76" s="18">
        <v>2.56</v>
      </c>
      <c r="G76" s="18">
        <v>14.2</v>
      </c>
      <c r="H76" s="19">
        <f>(1+E76/100)*G76/G77</f>
        <v>1.02321142857143</v>
      </c>
      <c r="I76" s="21">
        <f>'Consumption'!G54</f>
        <v>5945.863088593110</v>
      </c>
      <c r="J76" s="19">
        <f>J75+1</f>
        <v>1938</v>
      </c>
      <c r="K76" s="19">
        <f>B76*$G$151/G76</f>
        <v>183.413154929577</v>
      </c>
      <c r="L76" s="19">
        <f>O76+L77/(1+'Calculations'!$E$3)</f>
        <v>205.193737195202</v>
      </c>
      <c r="M76" s="19">
        <f>O76+M77/(H76+'Calculations'!$E$3-'Calculations'!$E$1+1)</f>
        <v>435.057097078672</v>
      </c>
      <c r="N76" s="21">
        <f>(I76/I77)^4*(O76+N77)</f>
        <v>96.8626458250565</v>
      </c>
      <c r="O76" s="19">
        <f>C76*$G$151/G77</f>
        <v>8.388771428571429</v>
      </c>
      <c r="P76" s="19">
        <f>(K77-K76+O76)/K76</f>
        <v>0.166742452949353</v>
      </c>
      <c r="Q76" s="19">
        <f>LN(1+P76)</f>
        <v>0.154215637388344</v>
      </c>
      <c r="R76" s="19">
        <f>D76*$G$151/G77</f>
        <v>10.5270857142857</v>
      </c>
      <c r="S76" s="19">
        <f>K76/R75</f>
        <v>10.0088495575221</v>
      </c>
      <c r="T76" s="19">
        <f>AVERAGE(R67:R76)</f>
        <v>12.7037648641562</v>
      </c>
      <c r="U76" s="19">
        <f>K76/T75</f>
        <v>13.5766496412081</v>
      </c>
      <c r="V76" s="11"/>
      <c r="W76" s="11"/>
      <c r="X76" s="11"/>
      <c r="Y76" s="11"/>
      <c r="Z76" s="11"/>
      <c r="AA76" s="11"/>
      <c r="AB76" s="13"/>
    </row>
    <row r="77" ht="15" customHeight="1">
      <c r="A77" s="17">
        <v>1939</v>
      </c>
      <c r="B77" s="18">
        <v>12.5</v>
      </c>
      <c r="C77" s="18">
        <v>0.62</v>
      </c>
      <c r="D77" s="18">
        <v>0.9</v>
      </c>
      <c r="E77" s="18">
        <v>0.5600000000000001</v>
      </c>
      <c r="F77" s="18">
        <v>2.36</v>
      </c>
      <c r="G77" s="18">
        <v>14</v>
      </c>
      <c r="H77" s="19">
        <f>(1+E77/100)*G77/G78</f>
        <v>1.0128345323741</v>
      </c>
      <c r="I77" s="21">
        <f>'Consumption'!G55</f>
        <v>6225.814804208890</v>
      </c>
      <c r="J77" s="19">
        <f>J76+1</f>
        <v>1939</v>
      </c>
      <c r="K77" s="19">
        <f>B77*$G$151/G77</f>
        <v>205.607142857143</v>
      </c>
      <c r="L77" s="19">
        <f>O77+L78/(1+'Calculations'!$E$3)</f>
        <v>209.657958711692</v>
      </c>
      <c r="M77" s="19">
        <f>O77+M78/(H77+'Calculations'!$E$3-'Calculations'!$E$1+1)</f>
        <v>452.823204942093</v>
      </c>
      <c r="N77" s="21">
        <f>(I77/I78)^4*(O77+N78)</f>
        <v>108.045679611483</v>
      </c>
      <c r="O77" s="19">
        <f>C77*$G$151/G78</f>
        <v>10.2714820143885</v>
      </c>
      <c r="P77" s="19">
        <f>(K78-K77+O77)/K77</f>
        <v>0.041035971223022</v>
      </c>
      <c r="Q77" s="19">
        <f>LN(1+P77)</f>
        <v>0.0402163435248132</v>
      </c>
      <c r="R77" s="19">
        <f>D77*$G$151/G78</f>
        <v>14.9102158273381</v>
      </c>
      <c r="S77" s="19">
        <f>K77/R76</f>
        <v>19.53125</v>
      </c>
      <c r="T77" s="19">
        <f>AVERAGE(R68:R77)</f>
        <v>12.0266531135566</v>
      </c>
      <c r="U77" s="19">
        <f>K77/T76</f>
        <v>16.1847409060023</v>
      </c>
      <c r="V77" s="11"/>
      <c r="W77" s="11"/>
      <c r="X77" s="11"/>
      <c r="Y77" s="11"/>
      <c r="Z77" s="11"/>
      <c r="AA77" s="11"/>
      <c r="AB77" s="13"/>
    </row>
    <row r="78" ht="15" customHeight="1">
      <c r="A78" s="17">
        <v>1940</v>
      </c>
      <c r="B78" s="18">
        <v>12.3</v>
      </c>
      <c r="C78" s="18">
        <v>0.67</v>
      </c>
      <c r="D78" s="18">
        <v>1.05</v>
      </c>
      <c r="E78" s="18">
        <v>0.5600000000000001</v>
      </c>
      <c r="F78" s="18">
        <v>2.21</v>
      </c>
      <c r="G78" s="18">
        <v>13.9</v>
      </c>
      <c r="H78" s="19">
        <f>(1+E78/100)*G78/G79</f>
        <v>0.991336170212766</v>
      </c>
      <c r="I78" s="21">
        <f>'Consumption'!G56</f>
        <v>6495.560484479130</v>
      </c>
      <c r="J78" s="19">
        <f>J77+1</f>
        <v>1940</v>
      </c>
      <c r="K78" s="19">
        <f>B78*$G$151/G78</f>
        <v>203.772949640288</v>
      </c>
      <c r="L78" s="19">
        <f>O78+L79/(1+'Calculations'!$E$3)</f>
        <v>212.408063669707</v>
      </c>
      <c r="M78" s="19">
        <f>O78+M79/(H78+'Calculations'!$E$3-'Calculations'!$E$1+1)</f>
        <v>465.087945311573</v>
      </c>
      <c r="N78" s="21">
        <f>(I78/I79)^4*(O78+N79)</f>
        <v>117.751853704012</v>
      </c>
      <c r="O78" s="19">
        <f>C78*$G$151/G79</f>
        <v>10.9423829787234</v>
      </c>
      <c r="P78" s="19">
        <f>(K79-K78+O78)/K78</f>
        <v>-0.100743815948797</v>
      </c>
      <c r="Q78" s="19">
        <f>LN(1+P78)</f>
        <v>-0.106187319531297</v>
      </c>
      <c r="R78" s="19">
        <f>D78*$G$151/G79</f>
        <v>17.1485106382979</v>
      </c>
      <c r="S78" s="19">
        <f>K78/R77</f>
        <v>13.6666666666667</v>
      </c>
      <c r="T78" s="19">
        <f>AVERAGE(R69:R78)</f>
        <v>12.3366513471977</v>
      </c>
      <c r="U78" s="19">
        <f>K78/T77</f>
        <v>16.9434461704556</v>
      </c>
      <c r="V78" s="11"/>
      <c r="W78" s="11"/>
      <c r="X78" s="11"/>
      <c r="Y78" s="11"/>
      <c r="Z78" s="11"/>
      <c r="AA78" s="11"/>
      <c r="AB78" s="13"/>
    </row>
    <row r="79" ht="15" customHeight="1">
      <c r="A79" s="17">
        <v>1941</v>
      </c>
      <c r="B79" s="18">
        <v>10.55</v>
      </c>
      <c r="C79" s="18">
        <v>0.71</v>
      </c>
      <c r="D79" s="18">
        <v>1.16</v>
      </c>
      <c r="E79" s="18">
        <v>0.53</v>
      </c>
      <c r="F79" s="18">
        <v>1.95</v>
      </c>
      <c r="G79" s="18">
        <v>14.1</v>
      </c>
      <c r="H79" s="19">
        <f>(1+E79/100)*G79/G80</f>
        <v>0.902849044585987</v>
      </c>
      <c r="I79" s="21">
        <f>'Consumption'!G57</f>
        <v>6892.7520014453</v>
      </c>
      <c r="J79" s="19">
        <f>J78+1</f>
        <v>1941</v>
      </c>
      <c r="K79" s="19">
        <f>B79*$G$151/G79</f>
        <v>172.301702127660</v>
      </c>
      <c r="L79" s="19">
        <f>O79+L80/(1+'Calculations'!$E$3)</f>
        <v>214.623056890849</v>
      </c>
      <c r="M79" s="19">
        <f>O79+M80/(H79+'Calculations'!$E$3-'Calculations'!$E$1+1)</f>
        <v>467.508796245510</v>
      </c>
      <c r="N79" s="21">
        <f>(I79/I80)^4*(O79+N80)</f>
        <v>138.361753590241</v>
      </c>
      <c r="O79" s="19">
        <f>C79*$G$151/G80</f>
        <v>10.4139363057325</v>
      </c>
      <c r="P79" s="19">
        <f>(K80-K79+O79)/K79</f>
        <v>-0.179376339541767</v>
      </c>
      <c r="Q79" s="19">
        <f>LN(1+P79)</f>
        <v>-0.197690666269765</v>
      </c>
      <c r="R79" s="19">
        <f>D79*$G$151/G80</f>
        <v>17.0143184713376</v>
      </c>
      <c r="S79" s="19">
        <f>K79/R78</f>
        <v>10.0476190476191</v>
      </c>
      <c r="T79" s="19">
        <f>AVERAGE(R70:R79)</f>
        <v>13.0557699076182</v>
      </c>
      <c r="U79" s="19">
        <f>K79/T78</f>
        <v>13.9666508583627</v>
      </c>
      <c r="V79" s="11"/>
      <c r="W79" s="11"/>
      <c r="X79" s="11"/>
      <c r="Y79" s="11"/>
      <c r="Z79" s="11"/>
      <c r="AA79" s="11"/>
      <c r="AB79" s="13"/>
    </row>
    <row r="80" ht="15" customHeight="1">
      <c r="A80" s="17">
        <v>1942</v>
      </c>
      <c r="B80" s="18">
        <v>8.93</v>
      </c>
      <c r="C80" s="18">
        <v>0.59</v>
      </c>
      <c r="D80" s="18">
        <v>1.03</v>
      </c>
      <c r="E80" s="18">
        <v>0.63</v>
      </c>
      <c r="F80" s="18">
        <v>2.46</v>
      </c>
      <c r="G80" s="18">
        <v>15.7</v>
      </c>
      <c r="H80" s="19">
        <f>(1+E80/100)*G80/G81</f>
        <v>0.93484674556213</v>
      </c>
      <c r="I80" s="21">
        <f>'Consumption'!G58</f>
        <v>6662.803007078440</v>
      </c>
      <c r="J80" s="19">
        <f>J79+1</f>
        <v>1942</v>
      </c>
      <c r="K80" s="19">
        <f>B80*$G$151/G80</f>
        <v>130.980917197452</v>
      </c>
      <c r="L80" s="19">
        <f>O80+L81/(1+'Calculations'!$E$3)</f>
        <v>217.545666113698</v>
      </c>
      <c r="M80" s="19">
        <f>O80+M81/(H80+'Calculations'!$E$3-'Calculations'!$E$1+1)</f>
        <v>430.097866644488</v>
      </c>
      <c r="N80" s="21">
        <f>(I80/I81)^4*(O80+N81)</f>
        <v>110.387844858658</v>
      </c>
      <c r="O80" s="19">
        <f>C80*$G$151/G81</f>
        <v>8.03936094674556</v>
      </c>
      <c r="P80" s="19">
        <f>(K81-K80+O80)/K80</f>
        <v>0.111047794483062</v>
      </c>
      <c r="Q80" s="19">
        <f>LN(1+P80)</f>
        <v>0.105303529068877</v>
      </c>
      <c r="R80" s="19">
        <f>D80*$G$151/G81</f>
        <v>14.0348165680473</v>
      </c>
      <c r="S80" s="19">
        <f>K80/R79</f>
        <v>7.69827586206894</v>
      </c>
      <c r="T80" s="19">
        <f>AVERAGE(R71:R80)</f>
        <v>13.7273538900043</v>
      </c>
      <c r="U80" s="19">
        <f>K80/T79</f>
        <v>10.0324161749376</v>
      </c>
      <c r="V80" s="11"/>
      <c r="W80" s="11"/>
      <c r="X80" s="11"/>
      <c r="Y80" s="11"/>
      <c r="Z80" s="11"/>
      <c r="AA80" s="11"/>
      <c r="AB80" s="13"/>
    </row>
    <row r="81" ht="15" customHeight="1">
      <c r="A81" s="17">
        <v>1943</v>
      </c>
      <c r="B81" s="18">
        <v>10.09</v>
      </c>
      <c r="C81" s="18">
        <v>0.61</v>
      </c>
      <c r="D81" s="18">
        <v>0.9399999999999999</v>
      </c>
      <c r="E81" s="18">
        <v>0.6899999999999999</v>
      </c>
      <c r="F81" s="18">
        <v>2.47</v>
      </c>
      <c r="G81" s="18">
        <v>16.9</v>
      </c>
      <c r="H81" s="19">
        <f>(1+E81/100)*G81/G82</f>
        <v>0.977966091954023</v>
      </c>
      <c r="I81" s="21">
        <f>'Consumption'!G59</f>
        <v>6759.2795227207</v>
      </c>
      <c r="J81" s="19">
        <f>J80+1</f>
        <v>1943</v>
      </c>
      <c r="K81" s="19">
        <f>B81*$G$151/G81</f>
        <v>137.486698224852</v>
      </c>
      <c r="L81" s="19">
        <f>O81+L82/(1+'Calculations'!$E$3)</f>
        <v>223.188800686145</v>
      </c>
      <c r="M81" s="19">
        <f>O81+M82/(H81+'Calculations'!$E$3-'Calculations'!$E$1+1)</f>
        <v>410.635735760786</v>
      </c>
      <c r="N81" s="21">
        <f>(I81/I82)^4*(O81+N82)</f>
        <v>108.882303354213</v>
      </c>
      <c r="O81" s="19">
        <f>C81*$G$151/G82</f>
        <v>8.07303448275862</v>
      </c>
      <c r="P81" s="19">
        <f>(K82-K81+O81)/K81</f>
        <v>0.199400795142567</v>
      </c>
      <c r="Q81" s="19">
        <f>LN(1+P81)</f>
        <v>0.181822094702333</v>
      </c>
      <c r="R81" s="19">
        <f>D81*$G$151/G82</f>
        <v>12.4404137931034</v>
      </c>
      <c r="S81" s="19">
        <f>K81/R80</f>
        <v>9.796116504854391</v>
      </c>
      <c r="T81" s="19">
        <f>AVERAGE(R72:R81)</f>
        <v>14.2037952693147</v>
      </c>
      <c r="U81" s="19">
        <f>K81/T80</f>
        <v>10.0155280709244</v>
      </c>
      <c r="V81" s="11"/>
      <c r="W81" s="11"/>
      <c r="X81" s="11"/>
      <c r="Y81" s="11"/>
      <c r="Z81" s="11"/>
      <c r="AA81" s="11"/>
      <c r="AB81" s="13"/>
    </row>
    <row r="82" ht="15" customHeight="1">
      <c r="A82" s="17">
        <v>1944</v>
      </c>
      <c r="B82" s="18">
        <v>11.85</v>
      </c>
      <c r="C82" s="18">
        <v>0.64</v>
      </c>
      <c r="D82" s="18">
        <v>0.93</v>
      </c>
      <c r="E82" s="18">
        <v>0.72</v>
      </c>
      <c r="F82" s="18">
        <v>2.48</v>
      </c>
      <c r="G82" s="18">
        <v>17.4</v>
      </c>
      <c r="H82" s="19">
        <f>(1+E82/100)*G82/G83</f>
        <v>0.984566292134831</v>
      </c>
      <c r="I82" s="21">
        <f>'Consumption'!G60</f>
        <v>6872.800977623360</v>
      </c>
      <c r="J82" s="19">
        <f>J81+1</f>
        <v>1944</v>
      </c>
      <c r="K82" s="19">
        <f>B82*$G$151/G82</f>
        <v>156.828620689655</v>
      </c>
      <c r="L82" s="19">
        <f>O82+L83/(1+'Calculations'!$E$3)</f>
        <v>229.164605949951</v>
      </c>
      <c r="M82" s="19">
        <f>O82+M83/(H82+'Calculations'!$E$3-'Calculations'!$E$1+1)</f>
        <v>409.025814599845</v>
      </c>
      <c r="N82" s="21">
        <f>(I82/I83)^4*(O82+N83)</f>
        <v>108.310286192792</v>
      </c>
      <c r="O82" s="19">
        <f>C82*$G$151/G83</f>
        <v>8.27973033707865</v>
      </c>
      <c r="P82" s="19">
        <f>(K83-K82+O82)/K82</f>
        <v>0.16560944389134</v>
      </c>
      <c r="Q82" s="19">
        <f>LN(1+P82)</f>
        <v>0.153244078037741</v>
      </c>
      <c r="R82" s="19">
        <f>D82*$G$151/G83</f>
        <v>12.0314831460674</v>
      </c>
      <c r="S82" s="19">
        <f>K82/R81</f>
        <v>12.6063829787234</v>
      </c>
      <c r="T82" s="19">
        <f>AVERAGE(R73:R82)</f>
        <v>14.5772582898038</v>
      </c>
      <c r="U82" s="19">
        <f>K82/T81</f>
        <v>11.0413180221248</v>
      </c>
      <c r="V82" s="11"/>
      <c r="W82" s="11"/>
      <c r="X82" s="11"/>
      <c r="Y82" s="11"/>
      <c r="Z82" s="11"/>
      <c r="AA82" s="11"/>
      <c r="AB82" s="13"/>
    </row>
    <row r="83" ht="15" customHeight="1">
      <c r="A83" s="17">
        <v>1945</v>
      </c>
      <c r="B83" s="18">
        <v>13.49</v>
      </c>
      <c r="C83" s="18">
        <v>0.66</v>
      </c>
      <c r="D83" s="18">
        <v>0.96</v>
      </c>
      <c r="E83" s="18">
        <v>0.75</v>
      </c>
      <c r="F83" s="18">
        <v>2.37</v>
      </c>
      <c r="G83" s="18">
        <v>17.8</v>
      </c>
      <c r="H83" s="19">
        <f>(1+E83/100)*G83/G84</f>
        <v>0.985357142857143</v>
      </c>
      <c r="I83" s="21">
        <f>'Consumption'!G61</f>
        <v>7217.906970058390</v>
      </c>
      <c r="J83" s="19">
        <f>J82+1</f>
        <v>1945</v>
      </c>
      <c r="K83" s="19">
        <f>B83*$G$151/G83</f>
        <v>174.521191011236</v>
      </c>
      <c r="L83" s="19">
        <f>O83+L84/(1+'Calculations'!$E$3)</f>
        <v>235.310485946757</v>
      </c>
      <c r="M83" s="19">
        <f>O83+M84/(H83+'Calculations'!$E$3-'Calculations'!$E$1+1)</f>
        <v>409.825036315415</v>
      </c>
      <c r="N83" s="21">
        <f>(I83/I84)^4*(O83+N84)</f>
        <v>123.479106768904</v>
      </c>
      <c r="O83" s="19">
        <f>C83*$G$151/G84</f>
        <v>8.350813186813189</v>
      </c>
      <c r="P83" s="19">
        <f>(K84-K83+O83)/K83</f>
        <v>0.354295815378095</v>
      </c>
      <c r="Q83" s="19">
        <f>LN(1+P83)</f>
        <v>0.303281625796319</v>
      </c>
      <c r="R83" s="19">
        <f>D83*$G$151/G84</f>
        <v>12.1466373626374</v>
      </c>
      <c r="S83" s="19">
        <f>K83/R82</f>
        <v>14.505376344086</v>
      </c>
      <c r="T83" s="19">
        <f>AVERAGE(R74:R83)</f>
        <v>14.5237133304154</v>
      </c>
      <c r="U83" s="19">
        <f>K83/T82</f>
        <v>11.9721546769399</v>
      </c>
      <c r="V83" s="11"/>
      <c r="W83" s="11"/>
      <c r="X83" s="11"/>
      <c r="Y83" s="11"/>
      <c r="Z83" s="11"/>
      <c r="AA83" s="11"/>
      <c r="AB83" s="13"/>
    </row>
    <row r="84" ht="15" customHeight="1">
      <c r="A84" s="17">
        <v>1946</v>
      </c>
      <c r="B84" s="18">
        <v>18.02</v>
      </c>
      <c r="C84" s="18">
        <v>0.71</v>
      </c>
      <c r="D84" s="18">
        <v>1.06</v>
      </c>
      <c r="E84" s="18">
        <v>0.76</v>
      </c>
      <c r="F84" s="18">
        <v>2.19</v>
      </c>
      <c r="G84" s="18">
        <v>18.2</v>
      </c>
      <c r="H84" s="19">
        <f>(1+E84/100)*G84/G85</f>
        <v>0.85294511627907</v>
      </c>
      <c r="I84" s="21">
        <f>'Consumption'!G62</f>
        <v>8015.240292521410</v>
      </c>
      <c r="J84" s="19">
        <f>J83+1</f>
        <v>1946</v>
      </c>
      <c r="K84" s="19">
        <f>B84*$G$151/G84</f>
        <v>228.002505494505</v>
      </c>
      <c r="L84" s="19">
        <f>O84+L85/(1+'Calculations'!$E$3)</f>
        <v>241.782017620165</v>
      </c>
      <c r="M84" s="19">
        <f>O84+M85/(H84+'Calculations'!$E$3-'Calculations'!$E$1+1)</f>
        <v>410.887177436571</v>
      </c>
      <c r="N84" s="21">
        <f>(I84/I85)^4*(O84+N85)</f>
        <v>179.414145239918</v>
      </c>
      <c r="O84" s="19">
        <f>C84*$G$151/G85</f>
        <v>7.60459534883721</v>
      </c>
      <c r="P84" s="19">
        <f>(K85-K84+O84)/K84</f>
        <v>-0.25213845081692</v>
      </c>
      <c r="Q84" s="19">
        <f>LN(1+P84)</f>
        <v>-0.29053741281482</v>
      </c>
      <c r="R84" s="19">
        <f>D84*$G$151/G85</f>
        <v>11.3533395348837</v>
      </c>
      <c r="S84" s="19">
        <f>K84/R83</f>
        <v>18.7708333333332</v>
      </c>
      <c r="T84" s="19">
        <f>AVERAGE(R75:R84)</f>
        <v>13.9931919647548</v>
      </c>
      <c r="U84" s="19">
        <f>K84/T83</f>
        <v>15.6986371396511</v>
      </c>
      <c r="V84" s="11"/>
      <c r="W84" s="11"/>
      <c r="X84" s="11"/>
      <c r="Y84" s="11"/>
      <c r="Z84" s="11"/>
      <c r="AA84" s="11"/>
      <c r="AB84" s="13"/>
    </row>
    <row r="85" ht="15" customHeight="1">
      <c r="A85" s="17">
        <v>1947</v>
      </c>
      <c r="B85" s="18">
        <v>15.21</v>
      </c>
      <c r="C85" s="18">
        <v>0.84</v>
      </c>
      <c r="D85" s="18">
        <v>1.61</v>
      </c>
      <c r="E85" s="18">
        <v>1.01</v>
      </c>
      <c r="F85" s="18">
        <v>2.25</v>
      </c>
      <c r="G85" s="18">
        <v>21.5</v>
      </c>
      <c r="H85" s="19">
        <f>(1+E85/100)*G85/G86</f>
        <v>0.916335443037975</v>
      </c>
      <c r="I85" s="21">
        <f>'Consumption'!G63</f>
        <v>8007.942344625610</v>
      </c>
      <c r="J85" s="19">
        <f>J84+1</f>
        <v>1947</v>
      </c>
      <c r="K85" s="19">
        <f>B85*$G$151/G85</f>
        <v>162.909711627907</v>
      </c>
      <c r="L85" s="19">
        <f>O85+L86/(1+'Calculations'!$E$3)</f>
        <v>249.471145905898</v>
      </c>
      <c r="M85" s="19">
        <f>O85+M86/(H85+'Calculations'!$E$3-'Calculations'!$E$1+1)</f>
        <v>359.338471155466</v>
      </c>
      <c r="N85" s="21">
        <f>(I85/I86)^4*(O85+N86)</f>
        <v>171.157009055373</v>
      </c>
      <c r="O85" s="19">
        <f>C85*$G$151/G86</f>
        <v>8.161822784810131</v>
      </c>
      <c r="P85" s="19">
        <f>(K86-K85+O85)/K85</f>
        <v>-0.0653911345245301</v>
      </c>
      <c r="Q85" s="19">
        <f>LN(1+P85)</f>
        <v>-0.0676271629107375</v>
      </c>
      <c r="R85" s="19">
        <f>D85*$G$151/G86</f>
        <v>15.6434936708861</v>
      </c>
      <c r="S85" s="19">
        <f>K85/R84</f>
        <v>14.3490566037736</v>
      </c>
      <c r="T85" s="19">
        <f>AVERAGE(R76:R85)</f>
        <v>13.7250314726885</v>
      </c>
      <c r="U85" s="19">
        <f>K85/T84</f>
        <v>11.6420693747527</v>
      </c>
      <c r="V85" s="11"/>
      <c r="W85" s="11"/>
      <c r="X85" s="11"/>
      <c r="Y85" s="11"/>
      <c r="Z85" s="11"/>
      <c r="AA85" s="11"/>
      <c r="AB85" s="13"/>
    </row>
    <row r="86" ht="15" customHeight="1">
      <c r="A86" s="17">
        <v>1948</v>
      </c>
      <c r="B86" s="18">
        <v>14.83</v>
      </c>
      <c r="C86" s="18">
        <v>0.93</v>
      </c>
      <c r="D86" s="18">
        <v>2.29</v>
      </c>
      <c r="E86" s="18">
        <v>1.35</v>
      </c>
      <c r="F86" s="18">
        <v>2.44</v>
      </c>
      <c r="G86" s="18">
        <v>23.7</v>
      </c>
      <c r="H86" s="19">
        <f>(1+E86/100)*G86/G87</f>
        <v>1.00083125</v>
      </c>
      <c r="I86" s="21">
        <f>'Consumption'!G64</f>
        <v>8045.457010074270</v>
      </c>
      <c r="J86" s="19">
        <f>J85+1</f>
        <v>1948</v>
      </c>
      <c r="K86" s="19">
        <f>B86*$G$151/G86</f>
        <v>144.095037974684</v>
      </c>
      <c r="L86" s="19">
        <f>O86+L87/(1+'Calculations'!$E$3)</f>
        <v>257.068818901955</v>
      </c>
      <c r="M86" s="19">
        <f>O86+M87/(H86+'Calculations'!$E$3-'Calculations'!$E$1+1)</f>
        <v>335.171517827362</v>
      </c>
      <c r="N86" s="21">
        <f>(I86/I87)^4*(O86+N87)</f>
        <v>166.225059081959</v>
      </c>
      <c r="O86" s="19">
        <f>C86*$G$151/G87</f>
        <v>8.923349999999999</v>
      </c>
      <c r="P86" s="19">
        <f>(K87-K86+O86)/K86</f>
        <v>0.084718476062033</v>
      </c>
      <c r="Q86" s="19">
        <f>LN(1+P86)</f>
        <v>0.08132048425724971</v>
      </c>
      <c r="R86" s="19">
        <f>D86*$G$151/G87</f>
        <v>21.97255</v>
      </c>
      <c r="S86" s="19">
        <f>K86/R85</f>
        <v>9.21118012422362</v>
      </c>
      <c r="T86" s="19">
        <f>AVERAGE(R77:R86)</f>
        <v>14.8695779012599</v>
      </c>
      <c r="U86" s="19">
        <f>K86/T85</f>
        <v>10.4987036467945</v>
      </c>
      <c r="V86" s="11"/>
      <c r="W86" s="11"/>
      <c r="X86" s="11"/>
      <c r="Y86" s="11"/>
      <c r="Z86" s="11"/>
      <c r="AA86" s="11"/>
      <c r="AB86" s="13"/>
    </row>
    <row r="87" ht="15" customHeight="1">
      <c r="A87" s="17">
        <v>1949</v>
      </c>
      <c r="B87" s="18">
        <v>15.36</v>
      </c>
      <c r="C87" s="18">
        <v>1.14</v>
      </c>
      <c r="D87" s="18">
        <v>2.32</v>
      </c>
      <c r="E87" s="18">
        <v>1.58</v>
      </c>
      <c r="F87" s="18">
        <v>2.31</v>
      </c>
      <c r="G87" s="18">
        <v>24</v>
      </c>
      <c r="H87" s="19">
        <f>(1+E87/100)*G87/G88</f>
        <v>1.03741276595745</v>
      </c>
      <c r="I87" s="21">
        <f>'Consumption'!G65</f>
        <v>8125.391752470840</v>
      </c>
      <c r="J87" s="19">
        <f>J86+1</f>
        <v>1949</v>
      </c>
      <c r="K87" s="19">
        <f>B87*$G$151/G87</f>
        <v>147.3792</v>
      </c>
      <c r="L87" s="19">
        <f>O87+L88/(1+'Calculations'!$E$3)</f>
        <v>264.351421575566</v>
      </c>
      <c r="M87" s="19">
        <f>O87+M88/(H87+'Calculations'!$E$3-'Calculations'!$E$1+1)</f>
        <v>338.945773081971</v>
      </c>
      <c r="N87" s="21">
        <f>(I87/I88)^4*(O87+N88)</f>
        <v>164.006855465773</v>
      </c>
      <c r="O87" s="19">
        <f>C87*$G$151/G88</f>
        <v>11.171029787234</v>
      </c>
      <c r="P87" s="19">
        <f>(K88-K87+O87)/K87</f>
        <v>0.198138297872339</v>
      </c>
      <c r="Q87" s="19">
        <f>LN(1+P87)</f>
        <v>0.180768933658497</v>
      </c>
      <c r="R87" s="19">
        <f>D87*$G$151/G88</f>
        <v>22.7340255319149</v>
      </c>
      <c r="S87" s="19">
        <f>K87/R86</f>
        <v>6.70742358078603</v>
      </c>
      <c r="T87" s="19">
        <f>AVERAGE(R78:R87)</f>
        <v>15.6519588717176</v>
      </c>
      <c r="U87" s="19">
        <f>K87/T86</f>
        <v>9.91145821210652</v>
      </c>
      <c r="V87" s="11"/>
      <c r="W87" s="11"/>
      <c r="X87" s="11"/>
      <c r="Y87" s="11"/>
      <c r="Z87" s="11"/>
      <c r="AA87" s="11"/>
      <c r="AB87" s="13"/>
    </row>
    <row r="88" ht="15" customHeight="1">
      <c r="A88" s="17">
        <v>1950</v>
      </c>
      <c r="B88" s="18">
        <v>16.88</v>
      </c>
      <c r="C88" s="18">
        <v>1.47</v>
      </c>
      <c r="D88" s="18">
        <v>2.84</v>
      </c>
      <c r="E88" s="18">
        <v>1.32</v>
      </c>
      <c r="F88" s="18">
        <v>2.32</v>
      </c>
      <c r="G88" s="18">
        <v>23.5</v>
      </c>
      <c r="H88" s="19">
        <f>(1+E88/100)*G88/G89</f>
        <v>0.937409448818898</v>
      </c>
      <c r="I88" s="21">
        <f>'Consumption'!G66</f>
        <v>8502.692925659790</v>
      </c>
      <c r="J88" s="19">
        <f>J87+1</f>
        <v>1950</v>
      </c>
      <c r="K88" s="19">
        <f>B88*$G$151/G88</f>
        <v>165.409634042553</v>
      </c>
      <c r="L88" s="19">
        <f>O88+L89/(1+'Calculations'!$E$3)</f>
        <v>269.715166593466</v>
      </c>
      <c r="M88" s="19">
        <f>O88+M89/(H88+'Calculations'!$E$3-'Calculations'!$E$1+1)</f>
        <v>352.522259993114</v>
      </c>
      <c r="N88" s="21">
        <f>(I88/I89)^4*(O88+N89)</f>
        <v>185.486575040048</v>
      </c>
      <c r="O88" s="19">
        <f>C88*$G$151/G89</f>
        <v>13.3272283464567</v>
      </c>
      <c r="P88" s="19">
        <f>(K89-K88+O88)/K88</f>
        <v>0.243096242116655</v>
      </c>
      <c r="Q88" s="19">
        <f>LN(1+P88)</f>
        <v>0.217605236817363</v>
      </c>
      <c r="R88" s="19">
        <f>D88*$G$151/G89</f>
        <v>25.747842519685</v>
      </c>
      <c r="S88" s="19">
        <f>K88/R87</f>
        <v>7.27586206896551</v>
      </c>
      <c r="T88" s="19">
        <f>AVERAGE(R79:R88)</f>
        <v>16.5118920598563</v>
      </c>
      <c r="U88" s="19">
        <f>K88/T87</f>
        <v>10.5679829213863</v>
      </c>
      <c r="V88" s="11"/>
      <c r="W88" s="11"/>
      <c r="X88" s="11"/>
      <c r="Y88" s="11"/>
      <c r="Z88" s="11"/>
      <c r="AA88" s="11"/>
      <c r="AB88" s="13"/>
    </row>
    <row r="89" ht="15" customHeight="1">
      <c r="A89" s="17">
        <v>1951</v>
      </c>
      <c r="B89" s="18">
        <v>21.21</v>
      </c>
      <c r="C89" s="18">
        <v>1.41</v>
      </c>
      <c r="D89" s="18">
        <v>2.44</v>
      </c>
      <c r="E89" s="18">
        <v>2.12</v>
      </c>
      <c r="F89" s="18">
        <v>2.57</v>
      </c>
      <c r="G89" s="18">
        <v>25.4</v>
      </c>
      <c r="H89" s="19">
        <f>(1+E89/100)*G89/G90</f>
        <v>0.978810566037736</v>
      </c>
      <c r="I89" s="21">
        <f>'Consumption'!G67</f>
        <v>8492.658234964380</v>
      </c>
      <c r="J89" s="19">
        <f>J88+1</f>
        <v>1951</v>
      </c>
      <c r="K89" s="19">
        <f>B89*$G$151/G89</f>
        <v>192.292866141732</v>
      </c>
      <c r="L89" s="19">
        <f>O89+L90/(1+'Calculations'!$E$3)</f>
        <v>273.132192380288</v>
      </c>
      <c r="M89" s="19">
        <f>O89+M90/(H89+'Calculations'!$E$3-'Calculations'!$E$1+1)</f>
        <v>330.884170036521</v>
      </c>
      <c r="N89" s="21">
        <f>(I89/I90)^4*(O89+N90)</f>
        <v>171.285266908250</v>
      </c>
      <c r="O89" s="19">
        <f>C89*$G$151/G90</f>
        <v>12.2526339622642</v>
      </c>
      <c r="P89" s="19">
        <f>(K90-K89+O89)/K89</f>
        <v>0.156876873671199</v>
      </c>
      <c r="Q89" s="19">
        <f>LN(1+P89)</f>
        <v>0.145724023941244</v>
      </c>
      <c r="R89" s="19">
        <f>D89*$G$151/G90</f>
        <v>21.2031396226415</v>
      </c>
      <c r="S89" s="19">
        <f>K89/R88</f>
        <v>7.46830985915493</v>
      </c>
      <c r="T89" s="19">
        <f>AVERAGE(R80:R89)</f>
        <v>16.9307741749867</v>
      </c>
      <c r="U89" s="19">
        <f>K89/T88</f>
        <v>11.6457196694759</v>
      </c>
      <c r="V89" s="11"/>
      <c r="W89" s="11"/>
      <c r="X89" s="11"/>
      <c r="Y89" s="11"/>
      <c r="Z89" s="11"/>
      <c r="AA89" s="11"/>
      <c r="AB89" s="13"/>
    </row>
    <row r="90" ht="15" customHeight="1">
      <c r="A90" s="17">
        <v>1952</v>
      </c>
      <c r="B90" s="18">
        <v>24.19</v>
      </c>
      <c r="C90" s="18">
        <v>1.41</v>
      </c>
      <c r="D90" s="18">
        <v>2.4</v>
      </c>
      <c r="E90" s="18">
        <v>2.39</v>
      </c>
      <c r="F90" s="18">
        <v>2.68</v>
      </c>
      <c r="G90" s="18">
        <v>26.5</v>
      </c>
      <c r="H90" s="19">
        <f>(1+E90/100)*G90/G91</f>
        <v>1.0200507518797</v>
      </c>
      <c r="I90" s="21">
        <f>'Consumption'!G68</f>
        <v>8612.567612818530</v>
      </c>
      <c r="J90" s="19">
        <f>J89+1</f>
        <v>1952</v>
      </c>
      <c r="K90" s="19">
        <f>B90*$G$151/G90</f>
        <v>210.206535849057</v>
      </c>
      <c r="L90" s="19">
        <f>O90+L91/(1+'Calculations'!$E$3)</f>
        <v>277.917152519351</v>
      </c>
      <c r="M90" s="19">
        <f>O90+M91/(H90+'Calculations'!$E$3-'Calculations'!$E$1+1)</f>
        <v>324.016217044596</v>
      </c>
      <c r="N90" s="21">
        <f>(I90/I91)^4*(O90+N91)</f>
        <v>168.913074484379</v>
      </c>
      <c r="O90" s="19">
        <f>C90*$G$151/G91</f>
        <v>12.2065714285714</v>
      </c>
      <c r="P90" s="19">
        <f>(K91-K90+O90)/K90</f>
        <v>0.136266151115695</v>
      </c>
      <c r="Q90" s="19">
        <f>LN(1+P90)</f>
        <v>0.12774758081178</v>
      </c>
      <c r="R90" s="19">
        <f>D90*$G$151/G91</f>
        <v>20.7771428571429</v>
      </c>
      <c r="S90" s="19">
        <f>K90/R89</f>
        <v>9.913934426229529</v>
      </c>
      <c r="T90" s="19">
        <f>AVERAGE(R81:R90)</f>
        <v>17.6050068038962</v>
      </c>
      <c r="U90" s="19">
        <f>K90/T89</f>
        <v>12.4156481963839</v>
      </c>
      <c r="V90" s="11"/>
      <c r="W90" s="11"/>
      <c r="X90" s="11"/>
      <c r="Y90" s="11"/>
      <c r="Z90" s="11"/>
      <c r="AA90" s="11"/>
      <c r="AB90" s="13"/>
    </row>
    <row r="91" ht="15" customHeight="1">
      <c r="A91" s="17">
        <v>1953</v>
      </c>
      <c r="B91" s="18">
        <v>26.18</v>
      </c>
      <c r="C91" s="18">
        <v>1.45</v>
      </c>
      <c r="D91" s="18">
        <v>2.51</v>
      </c>
      <c r="E91" s="18">
        <v>2.58</v>
      </c>
      <c r="F91" s="18">
        <v>2.83</v>
      </c>
      <c r="G91" s="18">
        <v>26.6</v>
      </c>
      <c r="H91" s="19">
        <f>(1+E91/100)*G91/G92</f>
        <v>1.01435985130112</v>
      </c>
      <c r="I91" s="21">
        <f>'Consumption'!G69</f>
        <v>8874.239399298591</v>
      </c>
      <c r="J91" s="19">
        <f>J90+1</f>
        <v>1953</v>
      </c>
      <c r="K91" s="19">
        <f>B91*$G$151/G91</f>
        <v>226.644</v>
      </c>
      <c r="L91" s="19">
        <f>O91+L92/(1+'Calculations'!$E$3)</f>
        <v>283.063680952282</v>
      </c>
      <c r="M91" s="19">
        <f>O91+M92/(H91+'Calculations'!$E$3-'Calculations'!$E$1+1)</f>
        <v>329.938128480626</v>
      </c>
      <c r="N91" s="21">
        <f>(I91/I92)^4*(O91+N92)</f>
        <v>178.189179170330</v>
      </c>
      <c r="O91" s="19">
        <f>C91*$G$151/G92</f>
        <v>12.4128624535316</v>
      </c>
      <c r="P91" s="19">
        <f>(K92-K91+O91)/K91</f>
        <v>0.0164204918195743</v>
      </c>
      <c r="Q91" s="19">
        <f>LN(1+P91)</f>
        <v>0.0162871334369214</v>
      </c>
      <c r="R91" s="19">
        <f>D91*$G$151/G92</f>
        <v>21.487092936803</v>
      </c>
      <c r="S91" s="19">
        <f>K91/R90</f>
        <v>10.9083333333333</v>
      </c>
      <c r="T91" s="19">
        <f>AVERAGE(R82:R91)</f>
        <v>18.5096747182662</v>
      </c>
      <c r="U91" s="19">
        <f>K91/T90</f>
        <v>12.8738376829165</v>
      </c>
      <c r="V91" s="11"/>
      <c r="W91" s="11"/>
      <c r="X91" s="11"/>
      <c r="Y91" s="11"/>
      <c r="Z91" s="11"/>
      <c r="AA91" s="11"/>
      <c r="AB91" s="13"/>
    </row>
    <row r="92" ht="15" customHeight="1">
      <c r="A92" s="17">
        <v>1954</v>
      </c>
      <c r="B92" s="18">
        <v>25.46</v>
      </c>
      <c r="C92" s="18">
        <v>1.54</v>
      </c>
      <c r="D92" s="18">
        <v>2.77</v>
      </c>
      <c r="E92" s="18">
        <v>1.8</v>
      </c>
      <c r="F92" s="18">
        <v>2.48</v>
      </c>
      <c r="G92" s="18">
        <v>26.9</v>
      </c>
      <c r="H92" s="19">
        <f>(1+E92/100)*G92/G93</f>
        <v>1.02562546816479</v>
      </c>
      <c r="I92" s="21">
        <f>'Consumption'!G70</f>
        <v>8897.173685685229</v>
      </c>
      <c r="J92" s="19">
        <f>J91+1</f>
        <v>1954</v>
      </c>
      <c r="K92" s="19">
        <f>B92*$G$151/G92</f>
        <v>217.952743494424</v>
      </c>
      <c r="L92" s="19">
        <f>O92+L93/(1+'Calculations'!$E$3)</f>
        <v>288.326556746455</v>
      </c>
      <c r="M92" s="19">
        <f>O92+M93/(H92+'Calculations'!$E$3-'Calculations'!$E$1+1)</f>
        <v>334.179047960541</v>
      </c>
      <c r="N92" s="21">
        <f>(I92/I93)^4*(O92+N93)</f>
        <v>167.625494257724</v>
      </c>
      <c r="O92" s="19">
        <f>C92*$G$151/G93</f>
        <v>13.2820674157303</v>
      </c>
      <c r="P92" s="19">
        <f>(K93-K92+O92)/K92</f>
        <v>0.469685869881813</v>
      </c>
      <c r="Q92" s="19">
        <f>LN(1+P92)</f>
        <v>0.385048683996887</v>
      </c>
      <c r="R92" s="19">
        <f>D92*$G$151/G93</f>
        <v>23.8904719101124</v>
      </c>
      <c r="S92" s="19">
        <f>K92/R91</f>
        <v>10.1434262948207</v>
      </c>
      <c r="T92" s="19">
        <f>AVERAGE(R83:R92)</f>
        <v>19.6955735946707</v>
      </c>
      <c r="U92" s="19">
        <f>K92/T91</f>
        <v>11.7750715132416</v>
      </c>
      <c r="V92" s="11"/>
      <c r="W92" s="11"/>
      <c r="X92" s="11"/>
      <c r="Y92" s="11"/>
      <c r="Z92" s="11"/>
      <c r="AA92" s="11"/>
      <c r="AB92" s="13"/>
    </row>
    <row r="93" ht="15" customHeight="1">
      <c r="A93" s="17">
        <v>1955</v>
      </c>
      <c r="B93" s="18">
        <v>35.6</v>
      </c>
      <c r="C93" s="18">
        <v>1.64</v>
      </c>
      <c r="D93" s="18">
        <v>3.62</v>
      </c>
      <c r="E93" s="18">
        <v>1.81</v>
      </c>
      <c r="F93" s="18">
        <v>2.61</v>
      </c>
      <c r="G93" s="18">
        <v>26.7</v>
      </c>
      <c r="H93" s="19">
        <f>(1+E93/100)*G93/G94</f>
        <v>1.01430111940299</v>
      </c>
      <c r="I93" s="21">
        <f>'Consumption'!G71</f>
        <v>9378.791582049251</v>
      </c>
      <c r="J93" s="19">
        <f>J92+1</f>
        <v>1955</v>
      </c>
      <c r="K93" s="19">
        <f>B93*$G$151/G93</f>
        <v>307.04</v>
      </c>
      <c r="L93" s="19">
        <f>O93+L94/(1+'Calculations'!$E$3)</f>
        <v>293.007170644049</v>
      </c>
      <c r="M93" s="19">
        <f>O93+M94/(H93+'Calculations'!$E$3-'Calculations'!$E$1+1)</f>
        <v>341.342706898746</v>
      </c>
      <c r="N93" s="21">
        <f>(I93/I94)^4*(O93+N94)</f>
        <v>193.693621320591</v>
      </c>
      <c r="O93" s="19">
        <f>C93*$G$151/G94</f>
        <v>14.0917611940299</v>
      </c>
      <c r="P93" s="19">
        <f>(K94-K93+O93)/K93</f>
        <v>0.28143656716418</v>
      </c>
      <c r="Q93" s="19">
        <f>LN(1+P93)</f>
        <v>0.247981766700413</v>
      </c>
      <c r="R93" s="19">
        <f>D93*$G$151/G94</f>
        <v>31.1049850746269</v>
      </c>
      <c r="S93" s="19">
        <f>K93/R92</f>
        <v>12.8519855595668</v>
      </c>
      <c r="T93" s="19">
        <f>AVERAGE(R84:R93)</f>
        <v>21.5914083658696</v>
      </c>
      <c r="U93" s="19">
        <f>K93/T92</f>
        <v>15.5892895692604</v>
      </c>
      <c r="V93" s="11"/>
      <c r="W93" s="11"/>
      <c r="X93" s="11"/>
      <c r="Y93" s="11"/>
      <c r="Z93" s="11"/>
      <c r="AA93" s="11"/>
      <c r="AB93" s="13"/>
    </row>
    <row r="94" ht="15" customHeight="1">
      <c r="A94" s="17">
        <v>1956</v>
      </c>
      <c r="B94" s="18">
        <v>44.15</v>
      </c>
      <c r="C94" s="18">
        <v>1.74</v>
      </c>
      <c r="D94" s="18">
        <v>3.41</v>
      </c>
      <c r="E94" s="18">
        <v>3.21</v>
      </c>
      <c r="F94" s="18">
        <v>2.9</v>
      </c>
      <c r="G94" s="18">
        <v>26.8</v>
      </c>
      <c r="H94" s="19">
        <f>(1+E94/100)*G94/G95</f>
        <v>1.00218405797101</v>
      </c>
      <c r="I94" s="21">
        <f>'Consumption'!G72</f>
        <v>9480.339366000080</v>
      </c>
      <c r="J94" s="19">
        <f>J93+1</f>
        <v>1956</v>
      </c>
      <c r="K94" s="19">
        <f>B94*$G$151/G94</f>
        <v>379.360522388060</v>
      </c>
      <c r="L94" s="19">
        <f>O94+L95/(1+'Calculations'!$E$3)</f>
        <v>297.130893881346</v>
      </c>
      <c r="M94" s="19">
        <f>O94+M95/(H94+'Calculations'!$E$3-'Calculations'!$E$1+1)</f>
        <v>344.395606656605</v>
      </c>
      <c r="N94" s="21">
        <f>(I94/I95)^4*(O94+N95)</f>
        <v>188.127870432320</v>
      </c>
      <c r="O94" s="19">
        <f>C94*$G$151/G95</f>
        <v>14.517652173913</v>
      </c>
      <c r="P94" s="19">
        <f>(K95-K94+O94)/K94</f>
        <v>0.0374349631526234</v>
      </c>
      <c r="Q94" s="19">
        <f>LN(1+P94)</f>
        <v>0.0367512850399062</v>
      </c>
      <c r="R94" s="19">
        <f>D94*$G$151/G95</f>
        <v>28.4512608695652</v>
      </c>
      <c r="S94" s="19">
        <f>K94/R93</f>
        <v>12.1961325966851</v>
      </c>
      <c r="T94" s="19">
        <f>AVERAGE(R85:R94)</f>
        <v>23.3012004993378</v>
      </c>
      <c r="U94" s="19">
        <f>K94/T93</f>
        <v>17.5699757959157</v>
      </c>
      <c r="V94" s="11"/>
      <c r="W94" s="11"/>
      <c r="X94" s="11"/>
      <c r="Y94" s="11"/>
      <c r="Z94" s="11"/>
      <c r="AA94" s="11"/>
      <c r="AB94" s="13"/>
    </row>
    <row r="95" ht="15" customHeight="1">
      <c r="A95" s="17">
        <v>1957</v>
      </c>
      <c r="B95" s="18">
        <v>45.43</v>
      </c>
      <c r="C95" s="18">
        <v>1.79</v>
      </c>
      <c r="D95" s="18">
        <v>3.37</v>
      </c>
      <c r="E95" s="18">
        <v>3.86</v>
      </c>
      <c r="F95" s="18">
        <v>3.46</v>
      </c>
      <c r="G95" s="18">
        <v>27.6</v>
      </c>
      <c r="H95" s="19">
        <f>(1+E95/100)*G95/G96</f>
        <v>1.00228531468531</v>
      </c>
      <c r="I95" s="21">
        <f>'Consumption'!G73</f>
        <v>9541.591460770749</v>
      </c>
      <c r="J95" s="19">
        <f>J94+1</f>
        <v>1957</v>
      </c>
      <c r="K95" s="19">
        <f>B95*$G$151/G95</f>
        <v>379.044217391304</v>
      </c>
      <c r="L95" s="19">
        <f>O95+L96/(1+'Calculations'!$E$3)</f>
        <v>301.070225186975</v>
      </c>
      <c r="M95" s="19">
        <f>O95+M96/(H95+'Calculations'!$E$3-'Calculations'!$E$1+1)</f>
        <v>343.163092855745</v>
      </c>
      <c r="N95" s="21">
        <f>(I95/I96)^4*(O95+N96)</f>
        <v>178.519487498416</v>
      </c>
      <c r="O95" s="19">
        <f>C95*$G$151/G96</f>
        <v>14.4126293706294</v>
      </c>
      <c r="P95" s="19">
        <f>(K96-K95+O95)/K95</f>
        <v>-0.0884954798668198</v>
      </c>
      <c r="Q95" s="19">
        <f>LN(1+P95)</f>
        <v>-0.0926587258705806</v>
      </c>
      <c r="R95" s="19">
        <f>D95*$G$151/G96</f>
        <v>27.1343916083916</v>
      </c>
      <c r="S95" s="19">
        <f>K95/R94</f>
        <v>13.3225806451613</v>
      </c>
      <c r="T95" s="19">
        <f>AVERAGE(R86:R95)</f>
        <v>24.4502902930883</v>
      </c>
      <c r="U95" s="19">
        <f>K95/T94</f>
        <v>16.2671540207585</v>
      </c>
      <c r="V95" s="11"/>
      <c r="W95" s="11"/>
      <c r="X95" s="11"/>
      <c r="Y95" s="11"/>
      <c r="Z95" s="11"/>
      <c r="AA95" s="11"/>
      <c r="AB95" s="13"/>
    </row>
    <row r="96" ht="15" customHeight="1">
      <c r="A96" s="17">
        <v>1958</v>
      </c>
      <c r="B96" s="18">
        <v>41.12</v>
      </c>
      <c r="C96" s="18">
        <v>1.75</v>
      </c>
      <c r="D96" s="18">
        <v>2.89</v>
      </c>
      <c r="E96" s="18">
        <v>2.54</v>
      </c>
      <c r="F96" s="18">
        <v>3.09</v>
      </c>
      <c r="G96" s="18">
        <v>28.6</v>
      </c>
      <c r="H96" s="19">
        <f>(1+E96/100)*G96/G97</f>
        <v>1.01125655172414</v>
      </c>
      <c r="I96" s="21">
        <f>'Consumption'!G74</f>
        <v>9458.975145964590</v>
      </c>
      <c r="J96" s="19">
        <f>J95+1</f>
        <v>1958</v>
      </c>
      <c r="K96" s="19">
        <f>B96*$G$151/G96</f>
        <v>331.087888111888</v>
      </c>
      <c r="L96" s="19">
        <f>O96+L97/(1+'Calculations'!$E$3)</f>
        <v>305.378709088684</v>
      </c>
      <c r="M96" s="19">
        <f>O96+M97/(H96+'Calculations'!$E$3-'Calculations'!$E$1+1)</f>
        <v>342.023482729692</v>
      </c>
      <c r="N96" s="21">
        <f>(I96/I97)^4*(O96+N97)</f>
        <v>158.003820450959</v>
      </c>
      <c r="O96" s="19">
        <f>C96*$G$151/G97</f>
        <v>13.8962068965517</v>
      </c>
      <c r="P96" s="19">
        <f>(K97-K96+O96)/K96</f>
        <v>0.375940896283377</v>
      </c>
      <c r="Q96" s="19">
        <f>LN(1+P96)</f>
        <v>0.319137785306204</v>
      </c>
      <c r="R96" s="19">
        <f>D96*$G$151/G97</f>
        <v>22.9485931034483</v>
      </c>
      <c r="S96" s="19">
        <f>K96/R95</f>
        <v>12.2017804154303</v>
      </c>
      <c r="T96" s="19">
        <f>AVERAGE(R87:R96)</f>
        <v>24.5478946034332</v>
      </c>
      <c r="U96" s="19">
        <f>K96/T95</f>
        <v>13.5412661421644</v>
      </c>
      <c r="V96" s="11"/>
      <c r="W96" s="11"/>
      <c r="X96" s="11"/>
      <c r="Y96" s="11"/>
      <c r="Z96" s="11"/>
      <c r="AA96" s="11"/>
      <c r="AB96" s="13"/>
    </row>
    <row r="97" ht="15" customHeight="1">
      <c r="A97" s="17">
        <v>1959</v>
      </c>
      <c r="B97" s="18">
        <v>55.62</v>
      </c>
      <c r="C97" s="18">
        <v>1.83</v>
      </c>
      <c r="D97" s="18">
        <v>3.39</v>
      </c>
      <c r="E97" s="18">
        <v>3.74</v>
      </c>
      <c r="F97" s="18">
        <v>4.02</v>
      </c>
      <c r="G97" s="18">
        <v>29</v>
      </c>
      <c r="H97" s="19">
        <f>(1+E97/100)*G97/G98</f>
        <v>1.02677815699659</v>
      </c>
      <c r="I97" s="21">
        <f>'Consumption'!G75</f>
        <v>9819.111283368769</v>
      </c>
      <c r="J97" s="19">
        <f>J96+1</f>
        <v>1959</v>
      </c>
      <c r="K97" s="19">
        <f>B97*$G$151/G97</f>
        <v>441.661158620690</v>
      </c>
      <c r="L97" s="19">
        <f>O97+L98/(1+'Calculations'!$E$3)</f>
        <v>310.518721779837</v>
      </c>
      <c r="M97" s="19">
        <f>O97+M98/(H97+'Calculations'!$E$3-'Calculations'!$E$1+1)</f>
        <v>344.318841978810</v>
      </c>
      <c r="N97" s="21">
        <f>(I97/I98)^4*(O97+N98)</f>
        <v>169.580095425013</v>
      </c>
      <c r="O97" s="19">
        <f>C97*$G$151/G98</f>
        <v>14.3826757679181</v>
      </c>
      <c r="P97" s="19">
        <f>(K98-K97+O97)/K97</f>
        <v>0.06521213549279239</v>
      </c>
      <c r="Q97" s="19">
        <f>LN(1+P97)</f>
        <v>0.0631739675821847</v>
      </c>
      <c r="R97" s="19">
        <f>D97*$G$151/G98</f>
        <v>26.6433174061433</v>
      </c>
      <c r="S97" s="19">
        <f>K97/R96</f>
        <v>19.2456747404844</v>
      </c>
      <c r="T97" s="19">
        <f>AVERAGE(R88:R97)</f>
        <v>24.938823790856</v>
      </c>
      <c r="U97" s="19">
        <f>K97/T96</f>
        <v>17.9918141965185</v>
      </c>
      <c r="V97" s="11"/>
      <c r="W97" s="11"/>
      <c r="X97" s="11"/>
      <c r="Y97" s="11"/>
      <c r="Z97" s="11"/>
      <c r="AA97" s="11"/>
      <c r="AB97" s="13"/>
    </row>
    <row r="98" ht="15" customHeight="1">
      <c r="A98" s="17">
        <v>1960</v>
      </c>
      <c r="B98" s="18">
        <v>58.03</v>
      </c>
      <c r="C98" s="18">
        <v>1.95</v>
      </c>
      <c r="D98" s="18">
        <v>3.27</v>
      </c>
      <c r="E98" s="18">
        <v>4.28</v>
      </c>
      <c r="F98" s="18">
        <v>4.72</v>
      </c>
      <c r="G98" s="18">
        <v>29.3</v>
      </c>
      <c r="H98" s="19">
        <f>(1+E98/100)*G98/G99</f>
        <v>1.0253033557047</v>
      </c>
      <c r="I98" s="21">
        <f>'Consumption'!G76</f>
        <v>9886.8023059756</v>
      </c>
      <c r="J98" s="19">
        <f>J97+1</f>
        <v>1960</v>
      </c>
      <c r="K98" s="19">
        <f>B98*$G$151/G98</f>
        <v>456.080150170648</v>
      </c>
      <c r="L98" s="19">
        <f>O98+L99/(1+'Calculations'!$E$3)</f>
        <v>315.476180521954</v>
      </c>
      <c r="M98" s="19">
        <f>O98+M99/(H98+'Calculations'!$E$3-'Calculations'!$E$1+1)</f>
        <v>351.338131682347</v>
      </c>
      <c r="N98" s="21">
        <f>(I98/I99)^4*(O98+N99)</f>
        <v>159.922204899409</v>
      </c>
      <c r="O98" s="19">
        <f>C98*$G$151/G99</f>
        <v>15.0686577181208</v>
      </c>
      <c r="P98" s="19">
        <f>(K99-K98+O98)/K98</f>
        <v>0.0448952000064781</v>
      </c>
      <c r="Q98" s="19">
        <f>LN(1+P98)</f>
        <v>0.0439165933125489</v>
      </c>
      <c r="R98" s="19">
        <f>D98*$G$151/G99</f>
        <v>25.2689798657718</v>
      </c>
      <c r="S98" s="19">
        <f>K98/R97</f>
        <v>17.117994100295</v>
      </c>
      <c r="T98" s="19">
        <f>AVERAGE(R89:R98)</f>
        <v>24.8909375254647</v>
      </c>
      <c r="U98" s="19">
        <f>K98/T97</f>
        <v>18.2879575233966</v>
      </c>
      <c r="V98" s="11"/>
      <c r="W98" s="11"/>
      <c r="X98" s="11"/>
      <c r="Y98" s="11"/>
      <c r="Z98" s="11"/>
      <c r="AA98" s="11"/>
      <c r="AB98" s="13"/>
    </row>
    <row r="99" ht="15" customHeight="1">
      <c r="A99" s="17">
        <v>1961</v>
      </c>
      <c r="B99" s="18">
        <v>59.72</v>
      </c>
      <c r="C99" s="18">
        <v>2.02</v>
      </c>
      <c r="D99" s="18">
        <v>3.19</v>
      </c>
      <c r="E99" s="18">
        <v>2.91</v>
      </c>
      <c r="F99" s="18">
        <v>3.84</v>
      </c>
      <c r="G99" s="18">
        <v>29.8</v>
      </c>
      <c r="H99" s="19">
        <f>(1+E99/100)*G99/G100</f>
        <v>1.02223933333333</v>
      </c>
      <c r="I99" s="21">
        <f>'Consumption'!G77</f>
        <v>9927.012557346879</v>
      </c>
      <c r="J99" s="19">
        <f>J98+1</f>
        <v>1961</v>
      </c>
      <c r="K99" s="19">
        <f>B99*$G$151/G99</f>
        <v>461.487302013423</v>
      </c>
      <c r="L99" s="19">
        <f>O99+L100/(1+'Calculations'!$E$3)</f>
        <v>320.026620097442</v>
      </c>
      <c r="M99" s="19">
        <f>O99+M100/(H99+'Calculations'!$E$3-'Calculations'!$E$1+1)</f>
        <v>357.586331381723</v>
      </c>
      <c r="N99" s="21">
        <f>(I99/I100)^4*(O99+N100)</f>
        <v>147.471116860075</v>
      </c>
      <c r="O99" s="19">
        <f>C99*$G$151/G100</f>
        <v>15.50552</v>
      </c>
      <c r="P99" s="19">
        <f>(K100-K99+O99)/K99</f>
        <v>0.18245255637419</v>
      </c>
      <c r="Q99" s="19">
        <f>LN(1+P99)</f>
        <v>0.167590719119605</v>
      </c>
      <c r="R99" s="19">
        <f>D99*$G$151/G100</f>
        <v>24.48644</v>
      </c>
      <c r="S99" s="19">
        <f>K99/R98</f>
        <v>18.262996941896</v>
      </c>
      <c r="T99" s="19">
        <f>AVERAGE(R90:R99)</f>
        <v>25.2192675632005</v>
      </c>
      <c r="U99" s="19">
        <f>K99/T98</f>
        <v>18.540374445169</v>
      </c>
      <c r="V99" s="11"/>
      <c r="W99" s="11"/>
      <c r="X99" s="11"/>
      <c r="Y99" s="11"/>
      <c r="Z99" s="11"/>
      <c r="AA99" s="11"/>
      <c r="AB99" s="13"/>
    </row>
    <row r="100" ht="15" customHeight="1">
      <c r="A100" s="17">
        <v>1962</v>
      </c>
      <c r="B100" s="18">
        <v>69.06999999999999</v>
      </c>
      <c r="C100" s="18">
        <v>2.13</v>
      </c>
      <c r="D100" s="18">
        <v>3.67</v>
      </c>
      <c r="E100" s="18">
        <v>3.39</v>
      </c>
      <c r="F100" s="18">
        <v>4.08</v>
      </c>
      <c r="G100" s="18">
        <v>30</v>
      </c>
      <c r="H100" s="19">
        <f>(1+E100/100)*G100/G101</f>
        <v>1.02029605263158</v>
      </c>
      <c r="I100" s="21">
        <f>'Consumption'!G78</f>
        <v>10259.5997892788</v>
      </c>
      <c r="J100" s="19">
        <f>J99+1</f>
        <v>1962</v>
      </c>
      <c r="K100" s="19">
        <f>B100*$G$151/G100</f>
        <v>530.18132</v>
      </c>
      <c r="L100" s="19">
        <f>O100+L101/(1+'Calculations'!$E$3)</f>
        <v>324.408848030672</v>
      </c>
      <c r="M100" s="19">
        <f>O100+M101/(H100+'Calculations'!$E$3-'Calculations'!$E$1+1)</f>
        <v>362.717918929338</v>
      </c>
      <c r="N100" s="21">
        <f>(I100/I101)^4*(O100+N101)</f>
        <v>152.744205455788</v>
      </c>
      <c r="O100" s="19">
        <f>C100*$G$151/G101</f>
        <v>16.13475</v>
      </c>
      <c r="P100" s="19">
        <f>(K101-K100+O100)/K100</f>
        <v>-0.0400185166840657</v>
      </c>
      <c r="Q100" s="19">
        <f>LN(1+P100)</f>
        <v>-0.0408412829188436</v>
      </c>
      <c r="R100" s="19">
        <f>D100*$G$151/G101</f>
        <v>27.80025</v>
      </c>
      <c r="S100" s="19">
        <f>K100/R99</f>
        <v>21.6520376175549</v>
      </c>
      <c r="T100" s="19">
        <f>AVERAGE(R91:R100)</f>
        <v>25.9215782774863</v>
      </c>
      <c r="U100" s="19">
        <f>K100/T99</f>
        <v>21.0228674830204</v>
      </c>
      <c r="V100" s="11"/>
      <c r="W100" s="11"/>
      <c r="X100" s="11"/>
      <c r="Y100" s="11"/>
      <c r="Z100" s="11"/>
      <c r="AA100" s="11"/>
      <c r="AB100" s="13"/>
    </row>
    <row r="101" ht="15" customHeight="1">
      <c r="A101" s="17">
        <v>1963</v>
      </c>
      <c r="B101" s="18">
        <v>65.06</v>
      </c>
      <c r="C101" s="18">
        <v>2.28</v>
      </c>
      <c r="D101" s="18">
        <v>4.02</v>
      </c>
      <c r="E101" s="18">
        <v>3.5</v>
      </c>
      <c r="F101" s="18">
        <v>3.83</v>
      </c>
      <c r="G101" s="18">
        <v>30.4</v>
      </c>
      <c r="H101" s="19">
        <f>(1+E101/100)*G101/G102</f>
        <v>1.01825242718447</v>
      </c>
      <c r="I101" s="21">
        <f>'Consumption'!G79</f>
        <v>10529.7562584778</v>
      </c>
      <c r="J101" s="19">
        <f>J100+1</f>
        <v>1963</v>
      </c>
      <c r="K101" s="19">
        <f>B101*$G$151/G101</f>
        <v>492.8295</v>
      </c>
      <c r="L101" s="19">
        <f>O101+L102/(1+'Calculations'!$E$3)</f>
        <v>328.406947787277</v>
      </c>
      <c r="M101" s="19">
        <f>O101+M102/(H101+'Calculations'!$E$3-'Calculations'!$E$1+1)</f>
        <v>366.818387061127</v>
      </c>
      <c r="N101" s="21">
        <f>(I101/I102)^4*(O101+N102)</f>
        <v>153.344423369223</v>
      </c>
      <c r="O101" s="19">
        <f>C101*$G$151/G102</f>
        <v>16.9915339805825</v>
      </c>
      <c r="P101" s="19">
        <f>(K102-K101+O101)/K101</f>
        <v>0.190532612664237</v>
      </c>
      <c r="Q101" s="19">
        <f>LN(1+P101)</f>
        <v>0.174400780659647</v>
      </c>
      <c r="R101" s="19">
        <f>D101*$G$151/G102</f>
        <v>29.9587572815534</v>
      </c>
      <c r="S101" s="19">
        <f>K101/R100</f>
        <v>17.7275204359673</v>
      </c>
      <c r="T101" s="19">
        <f>AVERAGE(R92:R101)</f>
        <v>26.7687447119613</v>
      </c>
      <c r="U101" s="19">
        <f>K101/T100</f>
        <v>19.0123261293869</v>
      </c>
      <c r="V101" s="11"/>
      <c r="W101" s="11"/>
      <c r="X101" s="11"/>
      <c r="Y101" s="11"/>
      <c r="Z101" s="11"/>
      <c r="AA101" s="11"/>
      <c r="AB101" s="13"/>
    </row>
    <row r="102" ht="15" customHeight="1">
      <c r="A102" s="17">
        <v>1964</v>
      </c>
      <c r="B102" s="18">
        <v>76.45</v>
      </c>
      <c r="C102" s="18">
        <v>2.5</v>
      </c>
      <c r="D102" s="18">
        <v>4.55</v>
      </c>
      <c r="E102" s="18">
        <v>4.09</v>
      </c>
      <c r="F102" s="18">
        <v>4.17</v>
      </c>
      <c r="G102" s="18">
        <v>30.9</v>
      </c>
      <c r="H102" s="19">
        <f>(1+E102/100)*G102/G103</f>
        <v>1.03089134615385</v>
      </c>
      <c r="I102" s="21">
        <f>'Consumption'!G80</f>
        <v>11007.9195038865</v>
      </c>
      <c r="J102" s="19">
        <f>J101+1</f>
        <v>1964</v>
      </c>
      <c r="K102" s="19">
        <f>B102*$G$151/G102</f>
        <v>569.738058252427</v>
      </c>
      <c r="L102" s="19">
        <f>O102+L103/(1+'Calculations'!$E$3)</f>
        <v>331.753417479768</v>
      </c>
      <c r="M102" s="19">
        <f>O102+M103/(H102+'Calculations'!$E$3-'Calculations'!$E$1+1)</f>
        <v>369.536538276360</v>
      </c>
      <c r="N102" s="21">
        <f>(I102/I103)^4*(O102+N103)</f>
        <v>166.162164912374</v>
      </c>
      <c r="O102" s="19">
        <f>C102*$G$151/G103</f>
        <v>18.4519230769231</v>
      </c>
      <c r="P102" s="19">
        <f>(K103-K102+O102)/K102</f>
        <v>0.148042964230015</v>
      </c>
      <c r="Q102" s="19">
        <f>LN(1+P102)</f>
        <v>0.138058722484536</v>
      </c>
      <c r="R102" s="19">
        <f>D102*$G$151/G103</f>
        <v>33.5825</v>
      </c>
      <c r="S102" s="19">
        <f>K102/R101</f>
        <v>19.0174129353234</v>
      </c>
      <c r="T102" s="19">
        <f>AVERAGE(R93:R102)</f>
        <v>27.7379475209501</v>
      </c>
      <c r="U102" s="19">
        <f>K102/T101</f>
        <v>21.2837047229131</v>
      </c>
      <c r="V102" s="11"/>
      <c r="W102" s="11"/>
      <c r="X102" s="11"/>
      <c r="Y102" s="11"/>
      <c r="Z102" s="11"/>
      <c r="AA102" s="11"/>
      <c r="AB102" s="13"/>
    </row>
    <row r="103" ht="15" customHeight="1">
      <c r="A103" s="17">
        <v>1965</v>
      </c>
      <c r="B103" s="18">
        <v>86.12</v>
      </c>
      <c r="C103" s="18">
        <v>2.72</v>
      </c>
      <c r="D103" s="18">
        <v>5.19</v>
      </c>
      <c r="E103" s="18">
        <v>4.46</v>
      </c>
      <c r="F103" s="18">
        <v>4.19</v>
      </c>
      <c r="G103" s="18">
        <v>31.2</v>
      </c>
      <c r="H103" s="19">
        <f>(1+E103/100)*G103/G104</f>
        <v>1.02489056603774</v>
      </c>
      <c r="I103" s="21">
        <f>'Consumption'!G81</f>
        <v>11557.9398362542</v>
      </c>
      <c r="J103" s="19">
        <f>J102+1</f>
        <v>1965</v>
      </c>
      <c r="K103" s="19">
        <f>B103*$G$151/G103</f>
        <v>635.631846153846</v>
      </c>
      <c r="L103" s="19">
        <f>O103+L104/(1+'Calculations'!$E$3)</f>
        <v>333.762674747308</v>
      </c>
      <c r="M103" s="19">
        <f>O103+M104/(H103+'Calculations'!$E$3-'Calculations'!$E$1+1)</f>
        <v>375.302494298956</v>
      </c>
      <c r="N103" s="21">
        <f>(I103/I104)^4*(O103+N104)</f>
        <v>183.492972087651</v>
      </c>
      <c r="O103" s="19">
        <f>C103*$G$151/G104</f>
        <v>19.6969056603774</v>
      </c>
      <c r="P103" s="19">
        <f>(K104-K103+O103)/K103</f>
        <v>0.09414682452742509</v>
      </c>
      <c r="Q103" s="19">
        <f>LN(1+P103)</f>
        <v>0.08997490388619531</v>
      </c>
      <c r="R103" s="19">
        <f>D103*$G$151/G104</f>
        <v>37.5834339622642</v>
      </c>
      <c r="S103" s="19">
        <f>K103/R102</f>
        <v>18.9274725274725</v>
      </c>
      <c r="T103" s="19">
        <f>AVERAGE(R94:R103)</f>
        <v>28.3857924097138</v>
      </c>
      <c r="U103" s="19">
        <f>K103/T102</f>
        <v>22.9156049009669</v>
      </c>
      <c r="V103" s="11"/>
      <c r="W103" s="11"/>
      <c r="X103" s="11"/>
      <c r="Y103" s="11"/>
      <c r="Z103" s="11"/>
      <c r="AA103" s="11"/>
      <c r="AB103" s="13"/>
    </row>
    <row r="104" ht="15" customHeight="1">
      <c r="A104" s="17">
        <v>1966</v>
      </c>
      <c r="B104" s="18">
        <v>93.31999999999999</v>
      </c>
      <c r="C104" s="18">
        <v>2.87</v>
      </c>
      <c r="D104" s="18">
        <v>5.55</v>
      </c>
      <c r="E104" s="18">
        <v>5.44</v>
      </c>
      <c r="F104" s="18">
        <v>4.61</v>
      </c>
      <c r="G104" s="18">
        <v>31.8</v>
      </c>
      <c r="H104" s="19">
        <f>(1+E104/100)*G104/G105</f>
        <v>1.01914650455927</v>
      </c>
      <c r="I104" s="21">
        <f>'Consumption'!G82</f>
        <v>12074.8512206569</v>
      </c>
      <c r="J104" s="19">
        <f>J103+1</f>
        <v>1966</v>
      </c>
      <c r="K104" s="19">
        <f>B104*$G$151/G104</f>
        <v>675.777660377358</v>
      </c>
      <c r="L104" s="19">
        <f>O104+L105/(1+'Calculations'!$E$3)</f>
        <v>334.576862893101</v>
      </c>
      <c r="M104" s="19">
        <f>O104+M105/(H104+'Calculations'!$E$3-'Calculations'!$E$1+1)</f>
        <v>378.001414343252</v>
      </c>
      <c r="N104" s="21">
        <f>(I104/I105)^4*(O104+N105)</f>
        <v>198.890366619475</v>
      </c>
      <c r="O104" s="19">
        <f>C104*$G$151/G105</f>
        <v>20.0882553191489</v>
      </c>
      <c r="P104" s="19">
        <f>(K105-K104+O104)/K104</f>
        <v>-0.0955798722440148</v>
      </c>
      <c r="Q104" s="19">
        <f>LN(1+P104)</f>
        <v>-0.10046128345668</v>
      </c>
      <c r="R104" s="19">
        <f>D104*$G$151/G105</f>
        <v>38.8466261398176</v>
      </c>
      <c r="S104" s="19">
        <f>K104/R103</f>
        <v>17.9807321772639</v>
      </c>
      <c r="T104" s="19">
        <f>AVERAGE(R95:R104)</f>
        <v>29.425328936739</v>
      </c>
      <c r="U104" s="19">
        <f>K104/T103</f>
        <v>23.8068978531</v>
      </c>
      <c r="V104" s="11"/>
      <c r="W104" s="11"/>
      <c r="X104" s="11"/>
      <c r="Y104" s="11"/>
      <c r="Z104" s="11"/>
      <c r="AA104" s="11"/>
      <c r="AB104" s="13"/>
    </row>
    <row r="105" ht="15" customHeight="1">
      <c r="A105" s="17">
        <v>1967</v>
      </c>
      <c r="B105" s="18">
        <v>84.45</v>
      </c>
      <c r="C105" s="18">
        <v>2.92</v>
      </c>
      <c r="D105" s="18">
        <v>5.33</v>
      </c>
      <c r="E105" s="18">
        <v>5.55</v>
      </c>
      <c r="F105" s="18">
        <v>4.58</v>
      </c>
      <c r="G105" s="18">
        <v>32.9</v>
      </c>
      <c r="H105" s="19">
        <f>(1+E105/100)*G105/G106</f>
        <v>1.01835630498534</v>
      </c>
      <c r="I105" s="21">
        <f>'Consumption'!G83</f>
        <v>12299.8972352347</v>
      </c>
      <c r="J105" s="19">
        <f>J104+1</f>
        <v>1967</v>
      </c>
      <c r="K105" s="19">
        <f>B105*$G$151/G105</f>
        <v>591.098662613982</v>
      </c>
      <c r="L105" s="19">
        <f>O105+L106/(1+'Calculations'!$E$3)</f>
        <v>335.027316232570</v>
      </c>
      <c r="M105" s="19">
        <f>O105+M106/(H105+'Calculations'!$E$3-'Calculations'!$E$1+1)</f>
        <v>378.398438931858</v>
      </c>
      <c r="N105" s="21">
        <f>(I105/I106)^4*(O105+N106)</f>
        <v>194.049145431230</v>
      </c>
      <c r="O105" s="19">
        <f>C105*$G$151/G106</f>
        <v>19.718991202346</v>
      </c>
      <c r="P105" s="19">
        <f>(K106-K105+O105)/K105</f>
        <v>0.119156036385165</v>
      </c>
      <c r="Q105" s="19">
        <f>LN(1+P105)</f>
        <v>0.112574862312012</v>
      </c>
      <c r="R105" s="19">
        <f>D105*$G$151/G106</f>
        <v>35.9939120234604</v>
      </c>
      <c r="S105" s="19">
        <f>K105/R104</f>
        <v>15.2162162162162</v>
      </c>
      <c r="T105" s="19">
        <f>AVERAGE(R96:R105)</f>
        <v>30.3112809782459</v>
      </c>
      <c r="U105" s="19">
        <f>K105/T104</f>
        <v>20.0880902261033</v>
      </c>
      <c r="V105" s="11"/>
      <c r="W105" s="11"/>
      <c r="X105" s="11"/>
      <c r="Y105" s="11"/>
      <c r="Z105" s="11"/>
      <c r="AA105" s="11"/>
      <c r="AB105" s="13"/>
    </row>
    <row r="106" ht="15" customHeight="1">
      <c r="A106" s="17">
        <v>1968</v>
      </c>
      <c r="B106" s="18">
        <v>95.04000000000001</v>
      </c>
      <c r="C106" s="18">
        <v>3.07</v>
      </c>
      <c r="D106" s="18">
        <v>5.76</v>
      </c>
      <c r="E106" s="18">
        <v>6.17</v>
      </c>
      <c r="F106" s="18">
        <v>5.53</v>
      </c>
      <c r="G106" s="18">
        <v>34.1</v>
      </c>
      <c r="H106" s="19">
        <f>(1+E106/100)*G106/G107</f>
        <v>1.0169654494382</v>
      </c>
      <c r="I106" s="21">
        <f>'Consumption'!G84</f>
        <v>12877.1554517032</v>
      </c>
      <c r="J106" s="19">
        <f>J105+1</f>
        <v>1968</v>
      </c>
      <c r="K106" s="19">
        <f>B106*$G$151/G106</f>
        <v>641.812645161290</v>
      </c>
      <c r="L106" s="19">
        <f>O106+L107/(1+'Calculations'!$E$3)</f>
        <v>335.900568022396</v>
      </c>
      <c r="M106" s="19">
        <f>O106+M107/(H106+'Calculations'!$E$3-'Calculations'!$E$1+1)</f>
        <v>378.925158082004</v>
      </c>
      <c r="N106" s="21">
        <f>(I106/I107)^4*(O106+N107)</f>
        <v>213.404241404305</v>
      </c>
      <c r="O106" s="19">
        <f>C106*$G$151/G107</f>
        <v>19.8584157303371</v>
      </c>
      <c r="P106" s="19">
        <f>(K107-K106+O106)/K106</f>
        <v>0.0593561433624645</v>
      </c>
      <c r="Q106" s="19">
        <f>LN(1+P106)</f>
        <v>0.0576613116524154</v>
      </c>
      <c r="R106" s="19">
        <f>D106*$G$151/G107</f>
        <v>37.2587865168539</v>
      </c>
      <c r="S106" s="19">
        <f>K106/R105</f>
        <v>17.8311444652908</v>
      </c>
      <c r="T106" s="19">
        <f>AVERAGE(R97:R106)</f>
        <v>31.7423003195865</v>
      </c>
      <c r="U106" s="19">
        <f>K106/T105</f>
        <v>21.1740521828131</v>
      </c>
      <c r="V106" s="11"/>
      <c r="W106" s="11"/>
      <c r="X106" s="11"/>
      <c r="Y106" s="11"/>
      <c r="Z106" s="11"/>
      <c r="AA106" s="11"/>
      <c r="AB106" s="13"/>
    </row>
    <row r="107" ht="15" customHeight="1">
      <c r="A107" s="17">
        <v>1969</v>
      </c>
      <c r="B107" s="18">
        <v>102.04</v>
      </c>
      <c r="C107" s="18">
        <v>3.16</v>
      </c>
      <c r="D107" s="18">
        <v>5.78</v>
      </c>
      <c r="E107" s="18">
        <v>8.050000000000001</v>
      </c>
      <c r="F107" s="18">
        <v>6.04</v>
      </c>
      <c r="G107" s="18">
        <v>35.6</v>
      </c>
      <c r="H107" s="19">
        <f>(1+E107/100)*G107/G108</f>
        <v>1.01761375661376</v>
      </c>
      <c r="I107" s="21">
        <f>'Consumption'!G85</f>
        <v>13224.5115758537</v>
      </c>
      <c r="J107" s="19">
        <f>J106+1</f>
        <v>1969</v>
      </c>
      <c r="K107" s="19">
        <f>B107*$G$151/G107</f>
        <v>660.049752808989</v>
      </c>
      <c r="L107" s="19">
        <f>O107+L108/(1+'Calculations'!$E$3)</f>
        <v>336.682320277294</v>
      </c>
      <c r="M107" s="19">
        <f>O107+M108/(H107+'Calculations'!$E$3-'Calculations'!$E$1+1)</f>
        <v>378.834903631541</v>
      </c>
      <c r="N107" s="21">
        <f>(I107/I108)^4*(O107+N108)</f>
        <v>217.520344457093</v>
      </c>
      <c r="O107" s="19">
        <f>C107*$G$151/G108</f>
        <v>19.2509206349206</v>
      </c>
      <c r="P107" s="19">
        <f>(K108-K107+O107)/K107</f>
        <v>-0.137299616915454</v>
      </c>
      <c r="Q107" s="19">
        <f>LN(1+P107)</f>
        <v>-0.147687828846676</v>
      </c>
      <c r="R107" s="19">
        <f>D107*$G$151/G108</f>
        <v>35.212126984127</v>
      </c>
      <c r="S107" s="19">
        <f>K107/R106</f>
        <v>17.7152777777778</v>
      </c>
      <c r="T107" s="19">
        <f>AVERAGE(R98:R107)</f>
        <v>32.5991812773848</v>
      </c>
      <c r="U107" s="19">
        <f>K107/T106</f>
        <v>20.7940113401834</v>
      </c>
      <c r="V107" s="11"/>
      <c r="W107" s="11"/>
      <c r="X107" s="11"/>
      <c r="Y107" s="11"/>
      <c r="Z107" s="11"/>
      <c r="AA107" s="11"/>
      <c r="AB107" s="13"/>
    </row>
    <row r="108" ht="15" customHeight="1">
      <c r="A108" s="17">
        <v>1970</v>
      </c>
      <c r="B108" s="18">
        <v>90.31</v>
      </c>
      <c r="C108" s="18">
        <v>3.14</v>
      </c>
      <c r="D108" s="18">
        <v>5.13</v>
      </c>
      <c r="E108" s="18">
        <v>9.109999999999999</v>
      </c>
      <c r="F108" s="18">
        <v>7.79</v>
      </c>
      <c r="G108" s="18">
        <v>37.8</v>
      </c>
      <c r="H108" s="19">
        <f>(1+E108/100)*G108/G109</f>
        <v>1.03627085427136</v>
      </c>
      <c r="I108" s="21">
        <f>'Consumption'!G86</f>
        <v>13375.3591962943</v>
      </c>
      <c r="J108" s="19">
        <f>J107+1</f>
        <v>1970</v>
      </c>
      <c r="K108" s="19">
        <f>B108*$G$151/G108</f>
        <v>550.174253968254</v>
      </c>
      <c r="L108" s="19">
        <f>O108+L109/(1+'Calculations'!$E$3)</f>
        <v>338.162296976449</v>
      </c>
      <c r="M108" s="19">
        <f>O108+M109/(H108+'Calculations'!$E$3-'Calculations'!$E$1+1)</f>
        <v>379.613741464626</v>
      </c>
      <c r="N108" s="21">
        <f>(I108/I109)^4*(O108+N109)</f>
        <v>208.365260887611</v>
      </c>
      <c r="O108" s="19">
        <f>C108*$G$151/G109</f>
        <v>18.1678190954774</v>
      </c>
      <c r="P108" s="19">
        <f>(K109-K108+O108)/K108</f>
        <v>0.0162132776605866</v>
      </c>
      <c r="Q108" s="19">
        <f>LN(1+P108)</f>
        <v>0.016083246083659</v>
      </c>
      <c r="R108" s="19">
        <f>D108*$G$151/G109</f>
        <v>29.6818190954774</v>
      </c>
      <c r="S108" s="19">
        <f>K108/R107</f>
        <v>15.6245674740484</v>
      </c>
      <c r="T108" s="19">
        <f>AVERAGE(R99:R108)</f>
        <v>33.0404652003554</v>
      </c>
      <c r="U108" s="19">
        <f>K108/T107</f>
        <v>16.8769347084778</v>
      </c>
      <c r="V108" s="11"/>
      <c r="W108" s="11"/>
      <c r="X108" s="11"/>
      <c r="Y108" s="11"/>
      <c r="Z108" s="11"/>
      <c r="AA108" s="11"/>
      <c r="AB108" s="13"/>
    </row>
    <row r="109" ht="15" customHeight="1">
      <c r="A109" s="17">
        <v>1971</v>
      </c>
      <c r="B109" s="18">
        <v>93.48999999999999</v>
      </c>
      <c r="C109" s="18">
        <v>3.07</v>
      </c>
      <c r="D109" s="18">
        <v>5.7</v>
      </c>
      <c r="E109" s="18">
        <v>5.66</v>
      </c>
      <c r="F109" s="18">
        <v>6.24</v>
      </c>
      <c r="G109" s="18">
        <v>39.8</v>
      </c>
      <c r="H109" s="19">
        <f>(1+E109/100)*G109/G110</f>
        <v>1.0231795620438</v>
      </c>
      <c r="I109" s="21">
        <f>'Consumption'!G87</f>
        <v>13711.9873981657</v>
      </c>
      <c r="J109" s="19">
        <f>J108+1</f>
        <v>1971</v>
      </c>
      <c r="K109" s="19">
        <f>B109*$G$151/G109</f>
        <v>540.9265628140701</v>
      </c>
      <c r="L109" s="19">
        <f>O109+L110/(1+'Calculations'!$E$3)</f>
        <v>340.892765435055</v>
      </c>
      <c r="M109" s="19">
        <f>O109+M110/(H109+'Calculations'!$E$3-'Calculations'!$E$1+1)</f>
        <v>388.322927550546</v>
      </c>
      <c r="N109" s="21">
        <f>(I109/I110)^4*(O109+N110)</f>
        <v>211.979076137362</v>
      </c>
      <c r="O109" s="19">
        <f>C109*$G$151/G110</f>
        <v>17.2009635036496</v>
      </c>
      <c r="P109" s="19">
        <f>(K110-K109+O109)/K109</f>
        <v>0.101780926125308</v>
      </c>
      <c r="Q109" s="19">
        <f>LN(1+P109)</f>
        <v>0.0969278943485528</v>
      </c>
      <c r="R109" s="19">
        <f>D109*$G$151/G110</f>
        <v>31.9366423357664</v>
      </c>
      <c r="S109" s="19">
        <f>K109/R108</f>
        <v>18.224171539961</v>
      </c>
      <c r="T109" s="19">
        <f>AVERAGE(R100:R109)</f>
        <v>33.785485433932</v>
      </c>
      <c r="U109" s="19">
        <f>K109/T108</f>
        <v>16.3716388233012</v>
      </c>
      <c r="V109" s="11"/>
      <c r="W109" s="11"/>
      <c r="X109" s="11"/>
      <c r="Y109" s="11"/>
      <c r="Z109" s="11"/>
      <c r="AA109" s="11"/>
      <c r="AB109" s="13"/>
    </row>
    <row r="110" ht="15" customHeight="1">
      <c r="A110" s="17">
        <v>1972</v>
      </c>
      <c r="B110" s="18">
        <v>103.3</v>
      </c>
      <c r="C110" s="18">
        <v>3.15</v>
      </c>
      <c r="D110" s="18">
        <v>6.42</v>
      </c>
      <c r="E110" s="18">
        <v>4.62</v>
      </c>
      <c r="F110" s="18">
        <v>5.95</v>
      </c>
      <c r="G110" s="18">
        <v>41.1</v>
      </c>
      <c r="H110" s="19">
        <f>(1+E110/100)*G110/G111</f>
        <v>1.00936197183099</v>
      </c>
      <c r="I110" s="21">
        <f>'Consumption'!G88</f>
        <v>14396.6179501066</v>
      </c>
      <c r="J110" s="19">
        <f>J109+1</f>
        <v>1972</v>
      </c>
      <c r="K110" s="19">
        <f>B110*$G$151/G110</f>
        <v>578.781605839416</v>
      </c>
      <c r="L110" s="19">
        <f>O110+L111/(1+'Calculations'!$E$3)</f>
        <v>344.831555343582</v>
      </c>
      <c r="M110" s="19">
        <f>O110+M111/(H110+'Calculations'!$E$3-'Calculations'!$E$1+1)</f>
        <v>393.860010562774</v>
      </c>
      <c r="N110" s="21">
        <f>(I110/I111)^4*(O110+N111)</f>
        <v>240.391582823870</v>
      </c>
      <c r="O110" s="19">
        <f>C110*$G$151/G111</f>
        <v>17.0277464788732</v>
      </c>
      <c r="P110" s="19">
        <f>(K111-K110+O110)/K110</f>
        <v>0.135424648569052</v>
      </c>
      <c r="Q110" s="19">
        <f>LN(1+P110)</f>
        <v>0.127006720668974</v>
      </c>
      <c r="R110" s="19">
        <f>D110*$G$151/G111</f>
        <v>34.7041690140845</v>
      </c>
      <c r="S110" s="19">
        <f>K110/R109</f>
        <v>18.1228070175439</v>
      </c>
      <c r="T110" s="19">
        <f>AVERAGE(R101:R110)</f>
        <v>34.4758773353405</v>
      </c>
      <c r="U110" s="19">
        <f>K110/T109</f>
        <v>17.1310726605137</v>
      </c>
      <c r="V110" s="11"/>
      <c r="W110" s="11"/>
      <c r="X110" s="11"/>
      <c r="Y110" s="11"/>
      <c r="Z110" s="11"/>
      <c r="AA110" s="11"/>
      <c r="AB110" s="13"/>
    </row>
    <row r="111" ht="15" customHeight="1">
      <c r="A111" s="17">
        <v>1973</v>
      </c>
      <c r="B111" s="18">
        <v>118.42</v>
      </c>
      <c r="C111" s="18">
        <v>3.38</v>
      </c>
      <c r="D111" s="18">
        <v>8.16</v>
      </c>
      <c r="E111" s="18">
        <v>7.93</v>
      </c>
      <c r="F111" s="18">
        <v>6.46</v>
      </c>
      <c r="G111" s="18">
        <v>42.6</v>
      </c>
      <c r="H111" s="19">
        <f>(1+E111/100)*G111/G112</f>
        <v>0.986656223175966</v>
      </c>
      <c r="I111" s="21">
        <f>'Consumption'!G89</f>
        <v>14959.175308432</v>
      </c>
      <c r="J111" s="19">
        <f>J110+1</f>
        <v>1973</v>
      </c>
      <c r="K111" s="19">
        <f>B111*$G$151/G111</f>
        <v>640.135154929577</v>
      </c>
      <c r="L111" s="19">
        <f>O111+L112/(1+'Calculations'!$E$3)</f>
        <v>349.212110358983</v>
      </c>
      <c r="M111" s="19">
        <f>O111+M112/(H111+'Calculations'!$E$3-'Calculations'!$E$1+1)</f>
        <v>394.713257705158</v>
      </c>
      <c r="N111" s="21">
        <f>(I111/I112)^4*(O111+N112)</f>
        <v>263.197942198838</v>
      </c>
      <c r="O111" s="19">
        <f>C111*$G$151/G112</f>
        <v>16.7027124463519</v>
      </c>
      <c r="P111" s="19">
        <f>(K112-K111+O111)/K111</f>
        <v>-0.231970226001436</v>
      </c>
      <c r="Q111" s="19">
        <f>LN(1+P111)</f>
        <v>-0.263926778358636</v>
      </c>
      <c r="R111" s="19">
        <f>D111*$G$151/G112</f>
        <v>40.3237081545064</v>
      </c>
      <c r="S111" s="19">
        <f>K111/R110</f>
        <v>18.4454828660436</v>
      </c>
      <c r="T111" s="19">
        <f>AVERAGE(R102:R111)</f>
        <v>35.5123724226358</v>
      </c>
      <c r="U111" s="19">
        <f>K111/T110</f>
        <v>18.5676247975679</v>
      </c>
      <c r="V111" s="11"/>
      <c r="W111" s="11"/>
      <c r="X111" s="11"/>
      <c r="Y111" s="11"/>
      <c r="Z111" s="11"/>
      <c r="AA111" s="11"/>
      <c r="AB111" s="13"/>
    </row>
    <row r="112" ht="15" customHeight="1">
      <c r="A112" s="17">
        <v>1974</v>
      </c>
      <c r="B112" s="18">
        <v>96.11</v>
      </c>
      <c r="C112" s="18">
        <v>3.6</v>
      </c>
      <c r="D112" s="18">
        <v>8.890000000000001</v>
      </c>
      <c r="E112" s="18">
        <v>11.03</v>
      </c>
      <c r="F112" s="18">
        <v>6.99</v>
      </c>
      <c r="G112" s="18">
        <v>46.6</v>
      </c>
      <c r="H112" s="19">
        <f>(1+E112/100)*G112/G113</f>
        <v>0.9930898272552779</v>
      </c>
      <c r="I112" s="21">
        <f>'Consumption'!G90</f>
        <v>14709.7212391479</v>
      </c>
      <c r="J112" s="19">
        <f>J111+1</f>
        <v>1974</v>
      </c>
      <c r="K112" s="19">
        <f>B112*$G$151/G112</f>
        <v>474.940145922747</v>
      </c>
      <c r="L112" s="19">
        <f>O112+L113/(1+'Calculations'!$E$3)</f>
        <v>354.225013313339</v>
      </c>
      <c r="M112" s="19">
        <f>O112+M113/(H112+'Calculations'!$E$3-'Calculations'!$E$1+1)</f>
        <v>387.364436838672</v>
      </c>
      <c r="N112" s="21">
        <f>(I112/I113)^4*(O112+N113)</f>
        <v>229.373510839633</v>
      </c>
      <c r="O112" s="19">
        <f>C112*$G$151/G113</f>
        <v>15.9118618042226</v>
      </c>
      <c r="P112" s="19">
        <f>(K113-K112+O112)/K112</f>
        <v>-0.291228001504195</v>
      </c>
      <c r="Q112" s="19">
        <f>LN(1+P112)</f>
        <v>-0.344221385979805</v>
      </c>
      <c r="R112" s="19">
        <f>D112*$G$151/G113</f>
        <v>39.2934587332054</v>
      </c>
      <c r="S112" s="19">
        <f>K112/R111</f>
        <v>11.7781862745098</v>
      </c>
      <c r="T112" s="19">
        <f>AVERAGE(R103:R112)</f>
        <v>36.0834682959563</v>
      </c>
      <c r="U112" s="19">
        <f>K112/T111</f>
        <v>13.3739345901886</v>
      </c>
      <c r="V112" s="11"/>
      <c r="W112" s="11"/>
      <c r="X112" s="11"/>
      <c r="Y112" s="11"/>
      <c r="Z112" s="11"/>
      <c r="AA112" s="11"/>
      <c r="AB112" s="13"/>
    </row>
    <row r="113" ht="15" customHeight="1">
      <c r="A113" s="17">
        <v>1975</v>
      </c>
      <c r="B113" s="18">
        <v>72.56</v>
      </c>
      <c r="C113" s="18">
        <v>3.68</v>
      </c>
      <c r="D113" s="18">
        <v>7.96</v>
      </c>
      <c r="E113" s="18">
        <v>7.24</v>
      </c>
      <c r="F113" s="18">
        <v>7.5</v>
      </c>
      <c r="G113" s="18">
        <v>52.1</v>
      </c>
      <c r="H113" s="19">
        <f>(1+E113/100)*G113/G114</f>
        <v>1.0048928057554</v>
      </c>
      <c r="I113" s="21">
        <f>'Consumption'!G91</f>
        <v>14902.6481982159</v>
      </c>
      <c r="J113" s="19">
        <f>J112+1</f>
        <v>1975</v>
      </c>
      <c r="K113" s="19">
        <f>B113*$G$151/G113</f>
        <v>320.712414587332</v>
      </c>
      <c r="L113" s="19">
        <f>O113+L114/(1+'Calculations'!$E$3)</f>
        <v>360.407800049257</v>
      </c>
      <c r="M113" s="19">
        <f>O113+M114/(H113+'Calculations'!$E$3-'Calculations'!$E$1+1)</f>
        <v>383.033968085095</v>
      </c>
      <c r="N113" s="21">
        <f>(I113/I114)^4*(O113+N114)</f>
        <v>225.733959274141</v>
      </c>
      <c r="O113" s="19">
        <f>C113*$G$151/G114</f>
        <v>15.2415539568345</v>
      </c>
      <c r="P113" s="19">
        <f>(K114-K113+O113)/K113</f>
        <v>0.298388136238529</v>
      </c>
      <c r="Q113" s="19">
        <f>LN(1+P113)</f>
        <v>0.261123599960333</v>
      </c>
      <c r="R113" s="19">
        <f>D113*$G$151/G114</f>
        <v>32.9681438848921</v>
      </c>
      <c r="S113" s="19">
        <f>K113/R112</f>
        <v>8.161979752530931</v>
      </c>
      <c r="T113" s="19">
        <f>AVERAGE(R104:R113)</f>
        <v>35.6219392882191</v>
      </c>
      <c r="U113" s="19">
        <f>K113/T112</f>
        <v>8.888070624388201</v>
      </c>
      <c r="V113" s="11"/>
      <c r="W113" s="11"/>
      <c r="X113" s="11"/>
      <c r="Y113" s="11"/>
      <c r="Z113" s="11"/>
      <c r="AA113" s="11"/>
      <c r="AB113" s="13"/>
    </row>
    <row r="114" ht="15" customHeight="1">
      <c r="A114" s="17">
        <v>1976</v>
      </c>
      <c r="B114" s="18">
        <v>96.86</v>
      </c>
      <c r="C114" s="18">
        <v>4.05</v>
      </c>
      <c r="D114" s="18">
        <v>9.91</v>
      </c>
      <c r="E114" s="18">
        <v>5.7</v>
      </c>
      <c r="F114" s="18">
        <v>7.74</v>
      </c>
      <c r="G114" s="18">
        <v>55.6</v>
      </c>
      <c r="H114" s="19">
        <f>(1+E114/100)*G114/G115</f>
        <v>1.00460170940171</v>
      </c>
      <c r="I114" s="21">
        <f>'Consumption'!G92</f>
        <v>15572.3238239848</v>
      </c>
      <c r="J114" s="19">
        <f>J113+1</f>
        <v>1976</v>
      </c>
      <c r="K114" s="19">
        <f>B114*$G$151/G114</f>
        <v>401.167640287770</v>
      </c>
      <c r="L114" s="19">
        <f>O114+L115/(1+'Calculations'!$E$3)</f>
        <v>367.708458422368</v>
      </c>
      <c r="M114" s="19">
        <f>O114+M115/(H114+'Calculations'!$E$3-'Calculations'!$E$1+1)</f>
        <v>383.600734227783</v>
      </c>
      <c r="N114" s="21">
        <f>(I114/I115)^4*(O114+N115)</f>
        <v>253.885158682214</v>
      </c>
      <c r="O114" s="19">
        <f>C114*$G$151/G115</f>
        <v>15.9424615384615</v>
      </c>
      <c r="P114" s="19">
        <f>(K115-K114+O114)/K114</f>
        <v>0.0583635558238078</v>
      </c>
      <c r="Q114" s="19">
        <f>LN(1+P114)</f>
        <v>0.0567238999527238</v>
      </c>
      <c r="R114" s="19">
        <f>D114*$G$151/G115</f>
        <v>39.0098256410256</v>
      </c>
      <c r="S114" s="19">
        <f>K114/R113</f>
        <v>12.1683417085427</v>
      </c>
      <c r="T114" s="19">
        <f>AVERAGE(R105:R114)</f>
        <v>35.6382592383399</v>
      </c>
      <c r="U114" s="19">
        <f>K114/T113</f>
        <v>11.2618135986898</v>
      </c>
      <c r="V114" s="11"/>
      <c r="W114" s="11"/>
      <c r="X114" s="11"/>
      <c r="Y114" s="11"/>
      <c r="Z114" s="11"/>
      <c r="AA114" s="11"/>
      <c r="AB114" s="13"/>
    </row>
    <row r="115" ht="15" customHeight="1">
      <c r="A115" s="17">
        <v>1977</v>
      </c>
      <c r="B115" s="18">
        <v>103.81</v>
      </c>
      <c r="C115" s="18">
        <v>4.67</v>
      </c>
      <c r="D115" s="18">
        <v>10.89</v>
      </c>
      <c r="E115" s="18">
        <v>5.28</v>
      </c>
      <c r="F115" s="18">
        <v>7.21</v>
      </c>
      <c r="G115" s="18">
        <v>58.5</v>
      </c>
      <c r="H115" s="19">
        <f>(1+E115/100)*G115/G116</f>
        <v>0.9854208</v>
      </c>
      <c r="I115" s="21">
        <f>'Consumption'!G93</f>
        <v>16070.003606048</v>
      </c>
      <c r="J115" s="19">
        <f>J114+1</f>
        <v>1977</v>
      </c>
      <c r="K115" s="19">
        <f>B115*$G$151/G115</f>
        <v>408.638748717949</v>
      </c>
      <c r="L115" s="19">
        <f>O115+L116/(1+'Calculations'!$E$3)</f>
        <v>374.739227557478</v>
      </c>
      <c r="M115" s="19">
        <f>O115+M116/(H115+'Calculations'!$E$3-'Calculations'!$E$1+1)</f>
        <v>383.353803187602</v>
      </c>
      <c r="N115" s="21">
        <f>(I115/I116)^4*(O115+N116)</f>
        <v>271.987928874944</v>
      </c>
      <c r="O115" s="19">
        <f>C115*$G$151/G116</f>
        <v>17.2065216</v>
      </c>
      <c r="P115" s="19">
        <f>(K116-K115+O115)/K115</f>
        <v>-0.14415643964936</v>
      </c>
      <c r="Q115" s="19">
        <f>LN(1+P115)</f>
        <v>-0.155667676142137</v>
      </c>
      <c r="R115" s="19">
        <f>D115*$G$151/G116</f>
        <v>40.1239872</v>
      </c>
      <c r="S115" s="19">
        <f>K115/R114</f>
        <v>10.4752774974773</v>
      </c>
      <c r="T115" s="19">
        <f>AVERAGE(R106:R115)</f>
        <v>36.0512667559939</v>
      </c>
      <c r="U115" s="19">
        <f>K115/T114</f>
        <v>11.4662937374431</v>
      </c>
      <c r="V115" s="11"/>
      <c r="W115" s="11"/>
      <c r="X115" s="11"/>
      <c r="Y115" s="11"/>
      <c r="Z115" s="11"/>
      <c r="AA115" s="11"/>
      <c r="AB115" s="13"/>
    </row>
    <row r="116" ht="15" customHeight="1">
      <c r="A116" s="17">
        <v>1978</v>
      </c>
      <c r="B116" s="18">
        <v>90.25</v>
      </c>
      <c r="C116" s="18">
        <v>5.07</v>
      </c>
      <c r="D116" s="18">
        <v>12.33</v>
      </c>
      <c r="E116" s="18">
        <v>7.78</v>
      </c>
      <c r="F116" s="18">
        <v>7.96</v>
      </c>
      <c r="G116" s="18">
        <v>62.5</v>
      </c>
      <c r="H116" s="19">
        <f>(1+E116/100)*G116/G117</f>
        <v>0.986273792093704</v>
      </c>
      <c r="I116" s="21">
        <f>'Consumption'!G94</f>
        <v>16599.4568732244</v>
      </c>
      <c r="J116" s="19">
        <f>J115+1</f>
        <v>1978</v>
      </c>
      <c r="K116" s="19">
        <f>B116*$G$151/G116</f>
        <v>332.52432</v>
      </c>
      <c r="L116" s="19">
        <f>O116+L117/(1+'Calculations'!$E$3)</f>
        <v>380.882550456571</v>
      </c>
      <c r="M116" s="19">
        <f>O116+M117/(H116+'Calculations'!$E$3-'Calculations'!$E$1+1)</f>
        <v>374.755269222760</v>
      </c>
      <c r="N116" s="21">
        <f>(I116/I117)^4*(O116+N117)</f>
        <v>292.436464162353</v>
      </c>
      <c r="O116" s="19">
        <f>C116*$G$151/G117</f>
        <v>17.0939912152269</v>
      </c>
      <c r="P116" s="19">
        <f>(K117-K116+O116)/K116</f>
        <v>0.0624059570981843</v>
      </c>
      <c r="Q116" s="19">
        <f>LN(1+P116)</f>
        <v>0.0605361069326933</v>
      </c>
      <c r="R116" s="19">
        <f>D116*$G$151/G117</f>
        <v>41.5717774524158</v>
      </c>
      <c r="S116" s="19">
        <f>K116/R115</f>
        <v>8.287419651056011</v>
      </c>
      <c r="T116" s="19">
        <f>AVERAGE(R107:R116)</f>
        <v>36.4825658495501</v>
      </c>
      <c r="U116" s="19">
        <f>K116/T115</f>
        <v>9.22365148083775</v>
      </c>
      <c r="V116" s="11"/>
      <c r="W116" s="11"/>
      <c r="X116" s="11"/>
      <c r="Y116" s="11"/>
      <c r="Z116" s="11"/>
      <c r="AA116" s="11"/>
      <c r="AB116" s="13"/>
    </row>
    <row r="117" ht="15" customHeight="1">
      <c r="A117" s="17">
        <v>1979</v>
      </c>
      <c r="B117" s="18">
        <v>99.70999999999999</v>
      </c>
      <c r="C117" s="18">
        <v>5.65</v>
      </c>
      <c r="D117" s="18">
        <v>14.86</v>
      </c>
      <c r="E117" s="18">
        <v>10.88</v>
      </c>
      <c r="F117" s="18">
        <v>9.1</v>
      </c>
      <c r="G117" s="18">
        <v>68.3</v>
      </c>
      <c r="H117" s="19">
        <f>(1+E117/100)*G117/G118</f>
        <v>0.973406683804627</v>
      </c>
      <c r="I117" s="21">
        <f>'Consumption'!G95</f>
        <v>16816.0673890457</v>
      </c>
      <c r="J117" s="19">
        <f>J116+1</f>
        <v>1979</v>
      </c>
      <c r="K117" s="19">
        <f>B117*$G$151/G117</f>
        <v>336.181827232796</v>
      </c>
      <c r="L117" s="19">
        <f>O117+L118/(1+'Calculations'!$E$3)</f>
        <v>387.546962730855</v>
      </c>
      <c r="M117" s="19">
        <f>O117+M118/(H117+'Calculations'!$E$3-'Calculations'!$E$1+1)</f>
        <v>366.374845068669</v>
      </c>
      <c r="N117" s="21">
        <f>(I117/I118)^4*(O117+N118)</f>
        <v>290.908172316211</v>
      </c>
      <c r="O117" s="19">
        <f>C117*$G$151/G118</f>
        <v>16.7234190231362</v>
      </c>
      <c r="P117" s="19">
        <f>(K118-K117+O117)/K117</f>
        <v>0.0258948895240937</v>
      </c>
      <c r="Q117" s="19">
        <f>LN(1+P117)</f>
        <v>0.0255652946429317</v>
      </c>
      <c r="R117" s="19">
        <f>D117*$G$151/G118</f>
        <v>43.9840719794344</v>
      </c>
      <c r="S117" s="19">
        <f>K117/R116</f>
        <v>8.08678021086779</v>
      </c>
      <c r="T117" s="19">
        <f>AVERAGE(R108:R117)</f>
        <v>37.3597603490808</v>
      </c>
      <c r="U117" s="19">
        <f>K117/T116</f>
        <v>9.21486248031926</v>
      </c>
      <c r="V117" s="11"/>
      <c r="W117" s="11"/>
      <c r="X117" s="11"/>
      <c r="Y117" s="11"/>
      <c r="Z117" s="11"/>
      <c r="AA117" s="11"/>
      <c r="AB117" s="13"/>
    </row>
    <row r="118" ht="15" customHeight="1">
      <c r="A118" s="17">
        <v>1980</v>
      </c>
      <c r="B118" s="18">
        <v>110.87</v>
      </c>
      <c r="C118" s="18">
        <v>6.16</v>
      </c>
      <c r="D118" s="18">
        <v>14.82</v>
      </c>
      <c r="E118" s="18">
        <v>11.37</v>
      </c>
      <c r="F118" s="18">
        <v>10.8</v>
      </c>
      <c r="G118" s="18">
        <v>77.8</v>
      </c>
      <c r="H118" s="19">
        <f>(1+E118/100)*G118/G119</f>
        <v>0.995929425287356</v>
      </c>
      <c r="I118" s="21">
        <f>'Consumption'!G96</f>
        <v>16576.5745729404</v>
      </c>
      <c r="J118" s="19">
        <f>J117+1</f>
        <v>1980</v>
      </c>
      <c r="K118" s="19">
        <f>B118*$G$151/G118</f>
        <v>328.163799485861</v>
      </c>
      <c r="L118" s="19">
        <f>O118+L119/(1+'Calculations'!$E$3)</f>
        <v>395.041389901649</v>
      </c>
      <c r="M118" s="19">
        <f>O118+M119/(H118+'Calculations'!$E$3-'Calculations'!$E$1+1)</f>
        <v>353.670849336569</v>
      </c>
      <c r="N118" s="21">
        <f>(I118/I119)^4*(O118+N119)</f>
        <v>257.963091517974</v>
      </c>
      <c r="O118" s="19">
        <f>C118*$G$151/G119</f>
        <v>16.3048827586207</v>
      </c>
      <c r="P118" s="19">
        <f>(K119-K118+O118)/K118</f>
        <v>0.122191776845412</v>
      </c>
      <c r="Q118" s="19">
        <f>LN(1+P118)</f>
        <v>0.115283716599289</v>
      </c>
      <c r="R118" s="19">
        <f>D118*$G$151/G119</f>
        <v>39.2270068965517</v>
      </c>
      <c r="S118" s="19">
        <f>K118/R117</f>
        <v>7.46096904441454</v>
      </c>
      <c r="T118" s="19">
        <f>AVERAGE(R109:R118)</f>
        <v>38.3142791291882</v>
      </c>
      <c r="U118" s="19">
        <f>K118/T117</f>
        <v>8.783883954810619</v>
      </c>
      <c r="V118" s="11"/>
      <c r="W118" s="11"/>
      <c r="X118" s="11"/>
      <c r="Y118" s="11"/>
      <c r="Z118" s="11"/>
      <c r="AA118" s="11"/>
      <c r="AB118" s="13"/>
    </row>
    <row r="119" ht="15" customHeight="1">
      <c r="A119" s="17">
        <v>1981</v>
      </c>
      <c r="B119" s="18">
        <v>132.97</v>
      </c>
      <c r="C119" s="18">
        <v>6.63</v>
      </c>
      <c r="D119" s="18">
        <v>15.36</v>
      </c>
      <c r="E119" s="18">
        <v>17.63</v>
      </c>
      <c r="F119" s="18">
        <v>12.57</v>
      </c>
      <c r="G119" s="18">
        <v>87</v>
      </c>
      <c r="H119" s="19">
        <f>(1+E119/100)*G119/G120</f>
        <v>1.08523966065748</v>
      </c>
      <c r="I119" s="21">
        <f>'Consumption'!G97</f>
        <v>16646.1725230561</v>
      </c>
      <c r="J119" s="19">
        <f>J118+1</f>
        <v>1981</v>
      </c>
      <c r="K119" s="19">
        <f>B119*$G$151/G119</f>
        <v>351.957834482759</v>
      </c>
      <c r="L119" s="19">
        <f>O119+L120/(1+'Calculations'!$E$3)</f>
        <v>403.471135333857</v>
      </c>
      <c r="M119" s="19">
        <f>O119+M120/(H119+'Calculations'!$E$3-'Calculations'!$E$1+1)</f>
        <v>348.842568632953</v>
      </c>
      <c r="N119" s="21">
        <f>(I119/I120)^4*(O119+N120)</f>
        <v>246.017876433147</v>
      </c>
      <c r="O119" s="19">
        <f>C119*$G$151/G120</f>
        <v>16.1904178154825</v>
      </c>
      <c r="P119" s="19">
        <f>(K120-K119+O119)/K119</f>
        <v>-0.140273629521678</v>
      </c>
      <c r="Q119" s="19">
        <f>LN(1+P119)</f>
        <v>-0.151141114225043</v>
      </c>
      <c r="R119" s="19">
        <f>D119*$G$151/G120</f>
        <v>37.5090222693531</v>
      </c>
      <c r="S119" s="19">
        <f>K119/R118</f>
        <v>8.97233468286101</v>
      </c>
      <c r="T119" s="19">
        <f>AVERAGE(R110:R119)</f>
        <v>38.8715171225469</v>
      </c>
      <c r="U119" s="19">
        <f>K119/T118</f>
        <v>9.186074812892249</v>
      </c>
      <c r="V119" s="11"/>
      <c r="W119" s="11"/>
      <c r="X119" s="11"/>
      <c r="Y119" s="11"/>
      <c r="Z119" s="11"/>
      <c r="AA119" s="11"/>
      <c r="AB119" s="13"/>
    </row>
    <row r="120" ht="15" customHeight="1">
      <c r="A120" s="17">
        <v>1982</v>
      </c>
      <c r="B120" s="18">
        <v>117.28</v>
      </c>
      <c r="C120" s="18">
        <v>6.87</v>
      </c>
      <c r="D120" s="18">
        <v>12.64</v>
      </c>
      <c r="E120" s="18">
        <v>14.6</v>
      </c>
      <c r="F120" s="18">
        <v>14.59</v>
      </c>
      <c r="G120" s="18">
        <v>94.3</v>
      </c>
      <c r="H120" s="19">
        <f>(1+E120/100)*G120/G121</f>
        <v>1.10498773006135</v>
      </c>
      <c r="I120" s="21">
        <f>'Consumption'!G98</f>
        <v>16719.5853817049</v>
      </c>
      <c r="J120" s="19">
        <f>J119+1</f>
        <v>1982</v>
      </c>
      <c r="K120" s="19">
        <f>B120*$G$151/G120</f>
        <v>286.397013785790</v>
      </c>
      <c r="L120" s="19">
        <f>O120+L121/(1+'Calculations'!$E$3)</f>
        <v>412.573353355239</v>
      </c>
      <c r="M120" s="19">
        <f>O120+M121/(H120+'Calculations'!$E$3-'Calculations'!$E$1+1)</f>
        <v>373.677638963755</v>
      </c>
      <c r="N120" s="21">
        <f>(I120/I121)^4*(O120+N121)</f>
        <v>234.196199886443</v>
      </c>
      <c r="O120" s="19">
        <f>C120*$G$151/G121</f>
        <v>16.1761104294479</v>
      </c>
      <c r="P120" s="19">
        <f>(K121-K120+O120)/K120</f>
        <v>0.242591271269429</v>
      </c>
      <c r="Q120" s="19">
        <f>LN(1+P120)</f>
        <v>0.217198934052873</v>
      </c>
      <c r="R120" s="19">
        <f>D120*$G$151/G121</f>
        <v>29.7621595092025</v>
      </c>
      <c r="S120" s="19">
        <f>K120/R119</f>
        <v>7.63541666666667</v>
      </c>
      <c r="T120" s="19">
        <f>AVERAGE(R111:R120)</f>
        <v>38.3773161720587</v>
      </c>
      <c r="U120" s="19">
        <f>K120/T119</f>
        <v>7.36778584902901</v>
      </c>
      <c r="V120" s="11"/>
      <c r="W120" s="11"/>
      <c r="X120" s="11"/>
      <c r="Y120" s="11"/>
      <c r="Z120" s="11"/>
      <c r="AA120" s="11"/>
      <c r="AB120" s="13"/>
    </row>
    <row r="121" ht="15" customHeight="1">
      <c r="A121" s="17">
        <v>1983</v>
      </c>
      <c r="B121" s="18">
        <v>144.27</v>
      </c>
      <c r="C121" s="18">
        <v>7.09</v>
      </c>
      <c r="D121" s="18">
        <v>14.03</v>
      </c>
      <c r="E121" s="18">
        <v>9.369999999999999</v>
      </c>
      <c r="F121" s="18">
        <v>10.46</v>
      </c>
      <c r="G121" s="18">
        <v>97.8</v>
      </c>
      <c r="H121" s="19">
        <f>(1+E121/100)*G121/G122</f>
        <v>1.04969440628067</v>
      </c>
      <c r="I121" s="21">
        <f>'Consumption'!G99</f>
        <v>17515.637233988</v>
      </c>
      <c r="J121" s="19">
        <f>J120+1</f>
        <v>1983</v>
      </c>
      <c r="K121" s="19">
        <f>B121*$G$151/G121</f>
        <v>339.698319018405</v>
      </c>
      <c r="L121" s="19">
        <f>O121+L122/(1+'Calculations'!$E$3)</f>
        <v>422.285263316538</v>
      </c>
      <c r="M121" s="19">
        <f>O121+M122/(H121+'Calculations'!$E$3-'Calculations'!$E$1+1)</f>
        <v>408.651617960931</v>
      </c>
      <c r="N121" s="21">
        <f>(I121/I122)^4*(O121+N122)</f>
        <v>265.909931993979</v>
      </c>
      <c r="O121" s="19">
        <f>C121*$G$151/G122</f>
        <v>16.0224259077527</v>
      </c>
      <c r="P121" s="19">
        <f>(K122-K121+O121)/K121</f>
        <v>0.154085680451541</v>
      </c>
      <c r="Q121" s="19">
        <f>LN(1+P121)</f>
        <v>0.143308411821577</v>
      </c>
      <c r="R121" s="19">
        <f>D121*$G$151/G122</f>
        <v>31.705872423945</v>
      </c>
      <c r="S121" s="19">
        <f>K121/R120</f>
        <v>11.4137658227848</v>
      </c>
      <c r="T121" s="19">
        <f>AVERAGE(R112:R121)</f>
        <v>37.5155325990026</v>
      </c>
      <c r="U121" s="19">
        <f>K121/T120</f>
        <v>8.851539213826751</v>
      </c>
      <c r="V121" s="11"/>
      <c r="W121" s="11"/>
      <c r="X121" s="11"/>
      <c r="Y121" s="11"/>
      <c r="Z121" s="11"/>
      <c r="AA121" s="11"/>
      <c r="AB121" s="13"/>
    </row>
    <row r="122" ht="15" customHeight="1">
      <c r="A122" s="17">
        <v>1984</v>
      </c>
      <c r="B122" s="18">
        <v>166.39</v>
      </c>
      <c r="C122" s="18">
        <v>7.53</v>
      </c>
      <c r="D122" s="18">
        <v>16.64</v>
      </c>
      <c r="E122" s="18">
        <v>11.11</v>
      </c>
      <c r="F122" s="18">
        <v>11.67</v>
      </c>
      <c r="G122" s="18">
        <v>101.9</v>
      </c>
      <c r="H122" s="19">
        <f>(1+E122/100)*G122/G123</f>
        <v>1.07318568720379</v>
      </c>
      <c r="I122" s="21">
        <f>'Consumption'!G100</f>
        <v>18284.4037685181</v>
      </c>
      <c r="J122" s="19">
        <f>J121+1</f>
        <v>1984</v>
      </c>
      <c r="K122" s="19">
        <f>B122*$G$151/G122</f>
        <v>376.018539744848</v>
      </c>
      <c r="L122" s="19">
        <f>O122+L123/(1+'Calculations'!$E$3)</f>
        <v>432.795162763052</v>
      </c>
      <c r="M122" s="19">
        <f>O122+M123/(H122+'Calculations'!$E$3-'Calculations'!$E$1+1)</f>
        <v>427.095453746974</v>
      </c>
      <c r="N122" s="21">
        <f>(I122/I123)^4*(O122+N123)</f>
        <v>299.735313073985</v>
      </c>
      <c r="O122" s="19">
        <f>C122*$G$151/G123</f>
        <v>16.4360985781991</v>
      </c>
      <c r="P122" s="19">
        <f>(K123-K122+O122)/K122</f>
        <v>0.0398892113515065</v>
      </c>
      <c r="Q122" s="19">
        <f>LN(1+P122)</f>
        <v>0.0391141799321909</v>
      </c>
      <c r="R122" s="19">
        <f>D122*$G$151/G123</f>
        <v>36.3209402843602</v>
      </c>
      <c r="S122" s="19">
        <f>K122/R121</f>
        <v>11.8595866001426</v>
      </c>
      <c r="T122" s="19">
        <f>AVERAGE(R113:R122)</f>
        <v>37.218280754118</v>
      </c>
      <c r="U122" s="19">
        <f>K122/T121</f>
        <v>10.0230095028651</v>
      </c>
      <c r="V122" s="11"/>
      <c r="W122" s="11"/>
      <c r="X122" s="11"/>
      <c r="Y122" s="11"/>
      <c r="Z122" s="11"/>
      <c r="AA122" s="11"/>
      <c r="AB122" s="13"/>
    </row>
    <row r="123" ht="15" customHeight="1">
      <c r="A123" s="17">
        <v>1985</v>
      </c>
      <c r="B123" s="18">
        <v>171.61</v>
      </c>
      <c r="C123" s="18">
        <v>7.9</v>
      </c>
      <c r="D123" s="18">
        <v>14.61</v>
      </c>
      <c r="E123" s="18">
        <v>8.35</v>
      </c>
      <c r="F123" s="18">
        <v>11.38</v>
      </c>
      <c r="G123" s="18">
        <v>105.5</v>
      </c>
      <c r="H123" s="19">
        <f>(1+E123/100)*G123/G124</f>
        <v>1.04296760948905</v>
      </c>
      <c r="I123" s="21">
        <f>'Consumption'!G101</f>
        <v>19063.9459696557</v>
      </c>
      <c r="J123" s="19">
        <f>J122+1</f>
        <v>1985</v>
      </c>
      <c r="K123" s="19">
        <f>B123*$G$151/G123</f>
        <v>374.581524170616</v>
      </c>
      <c r="L123" s="19">
        <f>O123+L124/(1+'Calculations'!$E$3)</f>
        <v>443.5507567</v>
      </c>
      <c r="M123" s="19">
        <f>O123+M124/(H123+'Calculations'!$E$3-'Calculations'!$E$1+1)</f>
        <v>456.355277233087</v>
      </c>
      <c r="N123" s="21">
        <f>(I123/I124)^4*(O123+N124)</f>
        <v>337.778041051752</v>
      </c>
      <c r="O123" s="19">
        <f>C123*$G$151/G124</f>
        <v>16.5986496350365</v>
      </c>
      <c r="P123" s="19">
        <f>(K124-K123+O123)/K123</f>
        <v>0.21208753126785</v>
      </c>
      <c r="Q123" s="19">
        <f>LN(1+P123)</f>
        <v>0.192344105557375</v>
      </c>
      <c r="R123" s="19">
        <f>D123*$G$151/G124</f>
        <v>30.696996350365</v>
      </c>
      <c r="S123" s="19">
        <f>K123/R122</f>
        <v>10.3131009615385</v>
      </c>
      <c r="T123" s="19">
        <f>AVERAGE(R114:R123)</f>
        <v>36.9911660006653</v>
      </c>
      <c r="U123" s="19">
        <f>K123/T122</f>
        <v>10.0644499579463</v>
      </c>
      <c r="V123" s="11"/>
      <c r="W123" s="11"/>
      <c r="X123" s="11"/>
      <c r="Y123" s="11"/>
      <c r="Z123" s="11"/>
      <c r="AA123" s="11"/>
      <c r="AB123" s="13"/>
    </row>
    <row r="124" ht="15" customHeight="1">
      <c r="A124" s="17">
        <v>1986</v>
      </c>
      <c r="B124" s="18">
        <v>208.19</v>
      </c>
      <c r="C124" s="18">
        <v>8.279999999999999</v>
      </c>
      <c r="D124" s="18">
        <v>14.48</v>
      </c>
      <c r="E124" s="18">
        <v>7.31</v>
      </c>
      <c r="F124" s="18">
        <v>9.19</v>
      </c>
      <c r="G124" s="18">
        <v>109.6</v>
      </c>
      <c r="H124" s="19">
        <f>(1+E124/100)*G124/G125</f>
        <v>1.05765971223022</v>
      </c>
      <c r="I124" s="21">
        <f>'Consumption'!G102</f>
        <v>19657.785054109</v>
      </c>
      <c r="J124" s="19">
        <f>J123+1</f>
        <v>1986</v>
      </c>
      <c r="K124" s="19">
        <f>B124*$G$151/G124</f>
        <v>437.426945255474</v>
      </c>
      <c r="L124" s="19">
        <f>O124+L125/(1+'Calculations'!$E$3)</f>
        <v>454.835612944038</v>
      </c>
      <c r="M124" s="19">
        <f>O124+M125/(H124+'Calculations'!$E$3-'Calculations'!$E$1+1)</f>
        <v>475.401734696833</v>
      </c>
      <c r="N124" s="21">
        <f>(I124/I125)^4*(O124+N125)</f>
        <v>365.273993163585</v>
      </c>
      <c r="O124" s="19">
        <f>C124*$G$151/G125</f>
        <v>17.1467482014388</v>
      </c>
      <c r="P124" s="19">
        <f>(K125-K124+O124)/K124</f>
        <v>0.291440338290876</v>
      </c>
      <c r="Q124" s="19">
        <f>LN(1+P124)</f>
        <v>0.255758136815684</v>
      </c>
      <c r="R124" s="19">
        <f>D124*$G$151/G125</f>
        <v>29.9861007194245</v>
      </c>
      <c r="S124" s="19">
        <f>K124/R123</f>
        <v>14.2498288843258</v>
      </c>
      <c r="T124" s="19">
        <f>AVERAGE(R115:R124)</f>
        <v>36.0887935085052</v>
      </c>
      <c r="U124" s="19">
        <f>K124/T123</f>
        <v>11.825173211561</v>
      </c>
      <c r="V124" s="11"/>
      <c r="W124" s="11"/>
      <c r="X124" s="11"/>
      <c r="Y124" s="11"/>
      <c r="Z124" s="11"/>
      <c r="AA124" s="11"/>
      <c r="AB124" s="13"/>
    </row>
    <row r="125" ht="15" customHeight="1">
      <c r="A125" s="17">
        <v>1987</v>
      </c>
      <c r="B125" s="18">
        <v>264.51</v>
      </c>
      <c r="C125" s="18">
        <v>8.81</v>
      </c>
      <c r="D125" s="18">
        <v>17.5</v>
      </c>
      <c r="E125" s="18">
        <v>6.25</v>
      </c>
      <c r="F125" s="18">
        <v>7.08</v>
      </c>
      <c r="G125" s="18">
        <v>111.2</v>
      </c>
      <c r="H125" s="19">
        <f>(1+E125/100)*G125/G126</f>
        <v>1.02117545375972</v>
      </c>
      <c r="I125" s="21">
        <f>'Consumption'!G103</f>
        <v>20132.1707824179</v>
      </c>
      <c r="J125" s="19">
        <f>J124+1</f>
        <v>1987</v>
      </c>
      <c r="K125" s="19">
        <f>B125*$G$151/G125</f>
        <v>547.764053956835</v>
      </c>
      <c r="L125" s="19">
        <f>O125+L126/(1+'Calculations'!$E$3)</f>
        <v>466.273569751208</v>
      </c>
      <c r="M125" s="19">
        <f>O125+M126/(H125+'Calculations'!$E$3-'Calculations'!$E$1+1)</f>
        <v>502.132234072278</v>
      </c>
      <c r="N125" s="21">
        <f>(I125/I126)^4*(O125+N126)</f>
        <v>384.683705607406</v>
      </c>
      <c r="O125" s="19">
        <f>C125*$G$151/G126</f>
        <v>17.5347173725151</v>
      </c>
      <c r="P125" s="19">
        <f>(K126-K125+O125)/K125</f>
        <v>-0.0578607426193751</v>
      </c>
      <c r="Q125" s="19">
        <f>LN(1+P125)</f>
        <v>-0.0596021837175388</v>
      </c>
      <c r="R125" s="19">
        <f>D125*$G$151/G126</f>
        <v>34.8305963699222</v>
      </c>
      <c r="S125" s="19">
        <f>K125/R124</f>
        <v>18.2672651933702</v>
      </c>
      <c r="T125" s="19">
        <f>AVERAGE(R116:R125)</f>
        <v>35.5594544254974</v>
      </c>
      <c r="U125" s="19">
        <f>K125/T124</f>
        <v>15.1782312652747</v>
      </c>
      <c r="V125" s="11"/>
      <c r="W125" s="11"/>
      <c r="X125" s="11"/>
      <c r="Y125" s="11"/>
      <c r="Z125" s="11"/>
      <c r="AA125" s="11"/>
      <c r="AB125" s="13"/>
    </row>
    <row r="126" ht="15" customHeight="1">
      <c r="A126" s="17">
        <v>1988</v>
      </c>
      <c r="B126" s="18">
        <v>250.48</v>
      </c>
      <c r="C126" s="18">
        <v>9.75</v>
      </c>
      <c r="D126" s="18">
        <v>23.75</v>
      </c>
      <c r="E126" s="18">
        <v>7.63</v>
      </c>
      <c r="F126" s="18">
        <v>8.67</v>
      </c>
      <c r="G126" s="18">
        <v>115.7</v>
      </c>
      <c r="H126" s="19">
        <f>(1+E126/100)*G126/G127</f>
        <v>1.02830644095789</v>
      </c>
      <c r="I126" s="21">
        <f>'Consumption'!G104</f>
        <v>20758.540895106</v>
      </c>
      <c r="J126" s="19">
        <f>J125+1</f>
        <v>1988</v>
      </c>
      <c r="K126" s="19">
        <f>B126*$G$151/G126</f>
        <v>498.535301642178</v>
      </c>
      <c r="L126" s="19">
        <f>O126+L127/(1+'Calculations'!$E$3)</f>
        <v>478.045213025291</v>
      </c>
      <c r="M126" s="19">
        <f>O126+M127/(H126+'Calculations'!$E$3-'Calculations'!$E$1+1)</f>
        <v>513.316842126311</v>
      </c>
      <c r="N126" s="21">
        <f>(I126/I127)^4*(O126+N127)</f>
        <v>417.304457713985</v>
      </c>
      <c r="O126" s="19">
        <f>C126*$G$151/G127</f>
        <v>18.5402972749794</v>
      </c>
      <c r="P126" s="19">
        <f>(K127-K126+O126)/K126</f>
        <v>0.12583219244649</v>
      </c>
      <c r="Q126" s="19">
        <f>LN(1+P126)</f>
        <v>0.1185224888126</v>
      </c>
      <c r="R126" s="19">
        <f>D126*$G$151/G127</f>
        <v>45.1622625928984</v>
      </c>
      <c r="S126" s="19">
        <f>K126/R125</f>
        <v>14.3131428571429</v>
      </c>
      <c r="T126" s="19">
        <f>AVERAGE(R117:R126)</f>
        <v>35.9185029395457</v>
      </c>
      <c r="U126" s="19">
        <f>K126/T125</f>
        <v>14.0197680109712</v>
      </c>
      <c r="V126" s="11"/>
      <c r="W126" s="11"/>
      <c r="X126" s="11"/>
      <c r="Y126" s="11"/>
      <c r="Z126" s="11"/>
      <c r="AA126" s="11"/>
      <c r="AB126" s="13"/>
    </row>
    <row r="127" ht="15" customHeight="1">
      <c r="A127" s="17">
        <v>1989</v>
      </c>
      <c r="B127" s="18">
        <v>285.41</v>
      </c>
      <c r="C127" s="18">
        <v>11.06</v>
      </c>
      <c r="D127" s="18">
        <v>22.87</v>
      </c>
      <c r="E127" s="18">
        <v>9.289999999999999</v>
      </c>
      <c r="F127" s="18">
        <v>9.09</v>
      </c>
      <c r="G127" s="18">
        <v>121.1</v>
      </c>
      <c r="H127" s="19">
        <f>(1+E127/100)*G127/G128</f>
        <v>1.03885549450549</v>
      </c>
      <c r="I127" s="21">
        <f>'Consumption'!G105</f>
        <v>21142.7633571314</v>
      </c>
      <c r="J127" s="19">
        <f>J126+1</f>
        <v>1989</v>
      </c>
      <c r="K127" s="19">
        <f>B127*$G$151/G127</f>
        <v>542.726794384806</v>
      </c>
      <c r="L127" s="19">
        <f>O127+L128/(1+'Calculations'!$E$3)</f>
        <v>489.514389430782</v>
      </c>
      <c r="M127" s="19">
        <f>O127+M128/(H127+'Calculations'!$E$3-'Calculations'!$E$1+1)</f>
        <v>527.627368312385</v>
      </c>
      <c r="N127" s="21">
        <f>(I127/I128)^4*(O127+N128)</f>
        <v>430.528338545017</v>
      </c>
      <c r="O127" s="19">
        <f>C127*$G$151/G128</f>
        <v>19.9913406593407</v>
      </c>
      <c r="P127" s="19">
        <f>(K128-K127+O127)/K127</f>
        <v>0.169094893754156</v>
      </c>
      <c r="Q127" s="19">
        <f>LN(1+P127)</f>
        <v>0.156229854348663</v>
      </c>
      <c r="R127" s="19">
        <f>D127*$G$151/G128</f>
        <v>41.3383328100471</v>
      </c>
      <c r="S127" s="19">
        <f>K127/R126</f>
        <v>12.0172631578947</v>
      </c>
      <c r="T127" s="19">
        <f>AVERAGE(R118:R127)</f>
        <v>35.653929022607</v>
      </c>
      <c r="U127" s="19">
        <f>K127/T126</f>
        <v>15.1099503032815</v>
      </c>
      <c r="V127" s="11"/>
      <c r="W127" s="11"/>
      <c r="X127" s="11"/>
      <c r="Y127" s="11"/>
      <c r="Z127" s="11"/>
      <c r="AA127" s="11"/>
      <c r="AB127" s="13"/>
    </row>
    <row r="128" ht="15" customHeight="1">
      <c r="A128" s="17">
        <v>1990</v>
      </c>
      <c r="B128" s="18">
        <v>339.97</v>
      </c>
      <c r="C128" s="18">
        <v>12.09</v>
      </c>
      <c r="D128" s="18">
        <v>21.34</v>
      </c>
      <c r="E128" s="18">
        <v>8.43</v>
      </c>
      <c r="F128" s="18">
        <v>8.210000000000001</v>
      </c>
      <c r="G128" s="18">
        <v>127.4</v>
      </c>
      <c r="H128" s="19">
        <f>(1+E128/100)*G128/G129</f>
        <v>1.02629881129272</v>
      </c>
      <c r="I128" s="21">
        <f>'Consumption'!G106</f>
        <v>21332.497075325</v>
      </c>
      <c r="J128" s="19">
        <f>J127+1</f>
        <v>1990</v>
      </c>
      <c r="K128" s="19">
        <f>B128*$G$151/G128</f>
        <v>614.507783359498</v>
      </c>
      <c r="L128" s="19">
        <f>O128+L129/(1+'Calculations'!$E$3)</f>
        <v>500.186789444321</v>
      </c>
      <c r="M128" s="19">
        <f>O128+M129/(H128+'Calculations'!$E$3-'Calculations'!$E$1+1)</f>
        <v>546.695739615745</v>
      </c>
      <c r="N128" s="21">
        <f>(I128/I129)^4*(O128+N129)</f>
        <v>426.200399594187</v>
      </c>
      <c r="O128" s="19">
        <f>C128*$G$151/G129</f>
        <v>20.6841396731055</v>
      </c>
      <c r="P128" s="19">
        <f>(K129-K128+O128)/K128</f>
        <v>-0.0601179695035599</v>
      </c>
      <c r="Q128" s="19">
        <f>LN(1+P128)</f>
        <v>-0.0620009110656773</v>
      </c>
      <c r="R128" s="19">
        <f>D128*$G$151/G129</f>
        <v>36.5094739970282</v>
      </c>
      <c r="S128" s="19">
        <f>K128/R127</f>
        <v>14.8653257542632</v>
      </c>
      <c r="T128" s="19">
        <f>AVERAGE(R119:R128)</f>
        <v>35.3821757326546</v>
      </c>
      <c r="U128" s="19">
        <f>K128/T127</f>
        <v>17.2353454501426</v>
      </c>
      <c r="V128" s="11"/>
      <c r="W128" s="11"/>
      <c r="X128" s="11"/>
      <c r="Y128" s="11"/>
      <c r="Z128" s="11"/>
      <c r="AA128" s="11"/>
      <c r="AB128" s="13"/>
    </row>
    <row r="129" ht="15" customHeight="1">
      <c r="A129" s="17">
        <v>1991</v>
      </c>
      <c r="B129" s="18">
        <v>325.5</v>
      </c>
      <c r="C129" s="18">
        <v>12.2</v>
      </c>
      <c r="D129" s="18">
        <v>15.97</v>
      </c>
      <c r="E129" s="18">
        <v>6.92</v>
      </c>
      <c r="F129" s="18">
        <v>8.09</v>
      </c>
      <c r="G129" s="18">
        <v>134.6</v>
      </c>
      <c r="H129" s="19">
        <f>(1+E129/100)*G129/G130</f>
        <v>1.04210224475018</v>
      </c>
      <c r="I129" s="21">
        <f>'Consumption'!G107</f>
        <v>21086.6914744718</v>
      </c>
      <c r="J129" s="19">
        <f>J128+1</f>
        <v>1991</v>
      </c>
      <c r="K129" s="19">
        <f>B129*$G$151/G129</f>
        <v>556.880683506686</v>
      </c>
      <c r="L129" s="19">
        <f>O129+L130/(1+'Calculations'!$E$3)</f>
        <v>510.818140976634</v>
      </c>
      <c r="M129" s="19">
        <f>O129+M130/(H129+'Calculations'!$E$3-'Calculations'!$E$1+1)</f>
        <v>559.8802469019161</v>
      </c>
      <c r="N129" s="21">
        <f>(I129/I130)^4*(O129+N130)</f>
        <v>386.209450735722</v>
      </c>
      <c r="O129" s="19">
        <f>C129*$G$151/G130</f>
        <v>20.3433454018827</v>
      </c>
      <c r="P129" s="19">
        <f>(K130-K129+O129)/K129</f>
        <v>0.28241379885677</v>
      </c>
      <c r="Q129" s="19">
        <f>LN(1+P129)</f>
        <v>0.248744082436827</v>
      </c>
      <c r="R129" s="19">
        <f>D129*$G$151/G130</f>
        <v>26.6297726285301</v>
      </c>
      <c r="S129" s="19">
        <f>K129/R128</f>
        <v>15.253045923149</v>
      </c>
      <c r="T129" s="19">
        <f>AVERAGE(R120:R129)</f>
        <v>34.2942507685723</v>
      </c>
      <c r="U129" s="19">
        <f>K129/T128</f>
        <v>15.7390175130676</v>
      </c>
      <c r="V129" s="11"/>
      <c r="W129" s="11"/>
      <c r="X129" s="11"/>
      <c r="Y129" s="11"/>
      <c r="Z129" s="11"/>
      <c r="AA129" s="11"/>
      <c r="AB129" s="13"/>
    </row>
    <row r="130" ht="15" customHeight="1">
      <c r="A130" s="17">
        <v>1992</v>
      </c>
      <c r="B130" s="18">
        <v>416.08</v>
      </c>
      <c r="C130" s="18">
        <v>12.39</v>
      </c>
      <c r="D130" s="18">
        <v>19.09</v>
      </c>
      <c r="E130" s="18">
        <v>3.91</v>
      </c>
      <c r="F130" s="18">
        <v>7.03</v>
      </c>
      <c r="G130" s="18">
        <v>138.1</v>
      </c>
      <c r="H130" s="19">
        <f>(1+E130/100)*G130/G131</f>
        <v>1.00630932678822</v>
      </c>
      <c r="I130" s="21">
        <f>'Consumption'!G108</f>
        <v>21489.4521771638</v>
      </c>
      <c r="J130" s="19">
        <f>J129+1</f>
        <v>1992</v>
      </c>
      <c r="K130" s="19">
        <f>B130*$G$151/G130</f>
        <v>693.8081274438809</v>
      </c>
      <c r="L130" s="19">
        <f>O130+L131/(1+'Calculations'!$E$3)</f>
        <v>522.506858702304</v>
      </c>
      <c r="M130" s="19">
        <f>O130+M131/(H130+'Calculations'!$E$3-'Calculations'!$E$1+1)</f>
        <v>582.802946264255</v>
      </c>
      <c r="N130" s="21">
        <f>(I130/I131)^4*(O130+N131)</f>
        <v>396.229061016779</v>
      </c>
      <c r="O130" s="19">
        <f>C130*$G$151/G131</f>
        <v>20.0081991584853</v>
      </c>
      <c r="P130" s="19">
        <f>(K131-K130+O130)/K130</f>
        <v>0.0418538362322703</v>
      </c>
      <c r="Q130" s="19">
        <f>LN(1+P130)</f>
        <v>0.0410016611622168</v>
      </c>
      <c r="R130" s="19">
        <f>D130*$G$151/G131</f>
        <v>30.8278064516129</v>
      </c>
      <c r="S130" s="19">
        <f>K130/R129</f>
        <v>26.0538509705698</v>
      </c>
      <c r="T130" s="19">
        <f>AVERAGE(R121:R130)</f>
        <v>34.4008154628134</v>
      </c>
      <c r="U130" s="19">
        <f>K130/T129</f>
        <v>20.2310332459485</v>
      </c>
      <c r="V130" s="11"/>
      <c r="W130" s="11"/>
      <c r="X130" s="11"/>
      <c r="Y130" s="11"/>
      <c r="Z130" s="11"/>
      <c r="AA130" s="11"/>
      <c r="AB130" s="13"/>
    </row>
    <row r="131" ht="15" customHeight="1">
      <c r="A131" s="17">
        <v>1993</v>
      </c>
      <c r="B131" s="18">
        <v>435.23</v>
      </c>
      <c r="C131" s="18">
        <v>12.58</v>
      </c>
      <c r="D131" s="18">
        <v>21.89</v>
      </c>
      <c r="E131" s="18">
        <v>3.44</v>
      </c>
      <c r="F131" s="18">
        <v>6.6</v>
      </c>
      <c r="G131" s="18">
        <v>142.6</v>
      </c>
      <c r="H131" s="19">
        <f>(1+E131/100)*G131/G132</f>
        <v>1.00892913816689</v>
      </c>
      <c r="I131" s="21">
        <f>'Consumption'!G109</f>
        <v>21921.1970694889</v>
      </c>
      <c r="J131" s="19">
        <f>J130+1</f>
        <v>1993</v>
      </c>
      <c r="K131" s="19">
        <f>B131*$G$151/G131</f>
        <v>702.838460028050</v>
      </c>
      <c r="L131" s="19">
        <f>O131+L132/(1+'Calculations'!$E$3)</f>
        <v>535.315980493321</v>
      </c>
      <c r="M131" s="19">
        <f>O131+M132/(H131+'Calculations'!$E$3-'Calculations'!$E$1+1)</f>
        <v>587.781797325911</v>
      </c>
      <c r="N131" s="21">
        <f>(I131/I132)^4*(O131+N132)</f>
        <v>409.035979106322</v>
      </c>
      <c r="O131" s="19">
        <f>C131*$G$151/G132</f>
        <v>19.8147906976744</v>
      </c>
      <c r="P131" s="19">
        <f>(K132-K131+O131)/K131</f>
        <v>0.0881911172773949</v>
      </c>
      <c r="Q131" s="19">
        <f>LN(1+P131)</f>
        <v>0.08451679226978059</v>
      </c>
      <c r="R131" s="19">
        <f>D131*$G$151/G132</f>
        <v>34.4789958960328</v>
      </c>
      <c r="S131" s="19">
        <f>K131/R130</f>
        <v>22.7988475641697</v>
      </c>
      <c r="T131" s="19">
        <f>AVERAGE(R122:R131)</f>
        <v>34.6781278100221</v>
      </c>
      <c r="U131" s="19">
        <f>K131/T130</f>
        <v>20.4308662621037</v>
      </c>
      <c r="V131" s="11"/>
      <c r="W131" s="11"/>
      <c r="X131" s="11"/>
      <c r="Y131" s="11"/>
      <c r="Z131" s="11"/>
      <c r="AA131" s="11"/>
      <c r="AB131" s="13"/>
    </row>
    <row r="132" ht="15" customHeight="1">
      <c r="A132" s="17">
        <v>1994</v>
      </c>
      <c r="B132" s="18">
        <v>472.99</v>
      </c>
      <c r="C132" s="18">
        <v>13.17</v>
      </c>
      <c r="D132" s="18">
        <v>30.6</v>
      </c>
      <c r="E132" s="18">
        <v>4.35</v>
      </c>
      <c r="F132" s="18">
        <v>5.75</v>
      </c>
      <c r="G132" s="18">
        <v>146.2</v>
      </c>
      <c r="H132" s="19">
        <f>(1+E132/100)*G132/G133</f>
        <v>1.01503459747172</v>
      </c>
      <c r="I132" s="21">
        <f>'Consumption'!G110</f>
        <v>22467.6955149957</v>
      </c>
      <c r="J132" s="19">
        <f>J131+1</f>
        <v>1994</v>
      </c>
      <c r="K132" s="19">
        <f>B132*$G$151/G132</f>
        <v>745.007778385773</v>
      </c>
      <c r="L132" s="19">
        <f>O132+L133/(1+'Calculations'!$E$3)</f>
        <v>549.167683574420</v>
      </c>
      <c r="M132" s="19">
        <f>O132+M133/(H132+'Calculations'!$E$3-'Calculations'!$E$1+1)</f>
        <v>594.671662071618</v>
      </c>
      <c r="N132" s="21">
        <f>(I132/I133)^4*(O132+N133)</f>
        <v>431.561313326135</v>
      </c>
      <c r="O132" s="19">
        <f>C132*$G$151/G133</f>
        <v>20.1782275449102</v>
      </c>
      <c r="P132" s="19">
        <f>(K133-K132+O132)/K132</f>
        <v>-0.0161117822988102</v>
      </c>
      <c r="Q132" s="19">
        <f>LN(1+P132)</f>
        <v>-0.0162429882800055</v>
      </c>
      <c r="R132" s="19">
        <f>D132*$G$151/G133</f>
        <v>46.8833532934132</v>
      </c>
      <c r="S132" s="19">
        <f>K132/R131</f>
        <v>21.6075833714025</v>
      </c>
      <c r="T132" s="19">
        <f>AVERAGE(R123:R132)</f>
        <v>35.7343691109274</v>
      </c>
      <c r="U132" s="19">
        <f>K132/T131</f>
        <v>21.4835063319209</v>
      </c>
      <c r="V132" s="11"/>
      <c r="W132" s="11"/>
      <c r="X132" s="11"/>
      <c r="Y132" s="11"/>
      <c r="Z132" s="11"/>
      <c r="AA132" s="11"/>
      <c r="AB132" s="13"/>
    </row>
    <row r="133" ht="15" customHeight="1">
      <c r="A133" s="17">
        <v>1995</v>
      </c>
      <c r="B133" s="18">
        <v>465.25</v>
      </c>
      <c r="C133" s="18">
        <v>13.79</v>
      </c>
      <c r="D133" s="18">
        <v>33.96</v>
      </c>
      <c r="E133" s="18">
        <v>6.45</v>
      </c>
      <c r="F133" s="18">
        <v>7.78</v>
      </c>
      <c r="G133" s="18">
        <v>150.3</v>
      </c>
      <c r="H133" s="19">
        <f>(1+E133/100)*G133/G134</f>
        <v>1.03623283678756</v>
      </c>
      <c r="I133" s="21">
        <f>'Consumption'!G111</f>
        <v>22802.9768781791</v>
      </c>
      <c r="J133" s="19">
        <f>J132+1</f>
        <v>1995</v>
      </c>
      <c r="K133" s="19">
        <f>B133*$G$151/G133</f>
        <v>712.826147704591</v>
      </c>
      <c r="L133" s="19">
        <f>O133+L134/(1+'Calculations'!$E$3)</f>
        <v>563.536845216942</v>
      </c>
      <c r="M133" s="19">
        <f>O133+M134/(H133+'Calculations'!$E$3-'Calculations'!$E$1+1)</f>
        <v>605.012495643918</v>
      </c>
      <c r="N133" s="21">
        <f>(I133/I134)^4*(O133+N134)</f>
        <v>437.725917728610</v>
      </c>
      <c r="O133" s="19">
        <f>C133*$G$151/G134</f>
        <v>20.5671062176166</v>
      </c>
      <c r="P133" s="19">
        <f>(K134-K133+O133)/K133</f>
        <v>0.314407861949533</v>
      </c>
      <c r="Q133" s="19">
        <f>LN(1+P133)</f>
        <v>0.273386269121034</v>
      </c>
      <c r="R133" s="19">
        <f>D133*$G$151/G134</f>
        <v>50.6496683937824</v>
      </c>
      <c r="S133" s="19">
        <f>K133/R132</f>
        <v>15.2042483660131</v>
      </c>
      <c r="T133" s="19">
        <f>AVERAGE(R124:R133)</f>
        <v>37.7296363152692</v>
      </c>
      <c r="U133" s="19">
        <f>K133/T132</f>
        <v>19.947914722989</v>
      </c>
      <c r="V133" s="11"/>
      <c r="W133" s="11"/>
      <c r="X133" s="11"/>
      <c r="Y133" s="11"/>
      <c r="Z133" s="11"/>
      <c r="AA133" s="11"/>
      <c r="AB133" s="13"/>
    </row>
    <row r="134" ht="15" customHeight="1">
      <c r="A134" s="17">
        <v>1996</v>
      </c>
      <c r="B134" s="18">
        <v>614.42</v>
      </c>
      <c r="C134" s="18">
        <v>14.9</v>
      </c>
      <c r="D134" s="18">
        <v>38.73</v>
      </c>
      <c r="E134" s="18">
        <v>5.68</v>
      </c>
      <c r="F134" s="18">
        <v>5.65</v>
      </c>
      <c r="G134" s="18">
        <v>154.4</v>
      </c>
      <c r="H134" s="19">
        <f>(1+E134/100)*G134/G135</f>
        <v>1.02558089252043</v>
      </c>
      <c r="I134" s="21">
        <f>'Consumption'!G112</f>
        <v>23325.448437975</v>
      </c>
      <c r="J134" s="19">
        <f>J133+1</f>
        <v>1996</v>
      </c>
      <c r="K134" s="19">
        <f>B134*$G$151/G134</f>
        <v>916.377186528497</v>
      </c>
      <c r="L134" s="19">
        <f>O134+L135/(1+'Calculations'!$E$3)</f>
        <v>578.430156360010</v>
      </c>
      <c r="M134" s="19">
        <f>O134+M135/(H134+'Calculations'!$E$3-'Calculations'!$E$1+1)</f>
        <v>627.882345744041</v>
      </c>
      <c r="N134" s="21">
        <f>(I134/I135)^4*(O134+N135)</f>
        <v>458.676229202208</v>
      </c>
      <c r="O134" s="19">
        <f>C134*$G$151/G135</f>
        <v>21.5661345065996</v>
      </c>
      <c r="P134" s="19">
        <f>(K135-K134+O134)/K134</f>
        <v>0.233756716922166</v>
      </c>
      <c r="Q134" s="19">
        <f>LN(1+P134)</f>
        <v>0.210063756064546</v>
      </c>
      <c r="R134" s="19">
        <f>D134*$G$151/G135</f>
        <v>56.0574758013828</v>
      </c>
      <c r="S134" s="19">
        <f>K134/R133</f>
        <v>18.0924617196702</v>
      </c>
      <c r="T134" s="19">
        <f>AVERAGE(R125:R134)</f>
        <v>40.336773823465</v>
      </c>
      <c r="U134" s="19">
        <f>K134/T133</f>
        <v>24.2879941611745</v>
      </c>
      <c r="V134" s="11"/>
      <c r="W134" s="11"/>
      <c r="X134" s="11"/>
      <c r="Y134" s="11"/>
      <c r="Z134" s="11"/>
      <c r="AA134" s="11"/>
      <c r="AB134" s="13"/>
    </row>
    <row r="135" ht="15" customHeight="1">
      <c r="A135" s="17">
        <v>1997</v>
      </c>
      <c r="B135" s="18">
        <v>766.22</v>
      </c>
      <c r="C135" s="18">
        <v>15.5</v>
      </c>
      <c r="D135" s="18">
        <v>39.72</v>
      </c>
      <c r="E135" s="18">
        <v>5.78</v>
      </c>
      <c r="F135" s="18">
        <v>6.58</v>
      </c>
      <c r="G135" s="18">
        <v>159.1</v>
      </c>
      <c r="H135" s="19">
        <f>(1+E135/100)*G135/G136</f>
        <v>1.04143551980198</v>
      </c>
      <c r="I135" s="21">
        <f>'Consumption'!G113</f>
        <v>23898.9148513691</v>
      </c>
      <c r="J135" s="19">
        <f>J134+1</f>
        <v>1997</v>
      </c>
      <c r="K135" s="19">
        <f>B135*$G$151/G135</f>
        <v>1109.020374607170</v>
      </c>
      <c r="L135" s="19">
        <f>O135+L136/(1+'Calculations'!$E$3)</f>
        <v>593.231850868088</v>
      </c>
      <c r="M135" s="19">
        <f>O135+M136/(H135+'Calculations'!$E$3-'Calculations'!$E$1+1)</f>
        <v>644.920197026873</v>
      </c>
      <c r="N135" s="21">
        <f>(I135/I136)^4*(O135+N136)</f>
        <v>483.908018802213</v>
      </c>
      <c r="O135" s="19">
        <f>C135*$G$151/G136</f>
        <v>22.0875</v>
      </c>
      <c r="P135" s="19">
        <f>(K136-K135+O135)/K135</f>
        <v>0.257754620147609</v>
      </c>
      <c r="Q135" s="19">
        <f>LN(1+P135)</f>
        <v>0.229328083725903</v>
      </c>
      <c r="R135" s="19">
        <f>D135*$G$151/G136</f>
        <v>56.601</v>
      </c>
      <c r="S135" s="19">
        <f>K135/R134</f>
        <v>19.7836302607798</v>
      </c>
      <c r="T135" s="19">
        <f>AVERAGE(R126:R135)</f>
        <v>42.5138141864728</v>
      </c>
      <c r="U135" s="19">
        <f>K135/T134</f>
        <v>27.4940276448689</v>
      </c>
      <c r="V135" s="11"/>
      <c r="W135" s="11"/>
      <c r="X135" s="11"/>
      <c r="Y135" s="11"/>
      <c r="Z135" s="11"/>
      <c r="AA135" s="11"/>
      <c r="AB135" s="13"/>
    </row>
    <row r="136" ht="15" customHeight="1">
      <c r="A136" s="17">
        <v>1998</v>
      </c>
      <c r="B136" s="18">
        <v>963.36</v>
      </c>
      <c r="C136" s="18">
        <v>16.2</v>
      </c>
      <c r="D136" s="18">
        <v>37.71</v>
      </c>
      <c r="E136" s="18">
        <v>5.68</v>
      </c>
      <c r="F136" s="18">
        <v>5.54</v>
      </c>
      <c r="G136" s="18">
        <v>161.6</v>
      </c>
      <c r="H136" s="19">
        <f>(1+E136/100)*G136/G137</f>
        <v>1.03943323189288</v>
      </c>
      <c r="I136" s="21">
        <f>'Consumption'!G114</f>
        <v>24861.1282110706</v>
      </c>
      <c r="J136" s="19">
        <f>J135+1</f>
        <v>1998</v>
      </c>
      <c r="K136" s="19">
        <f>B136*$G$151/G136</f>
        <v>1372.788</v>
      </c>
      <c r="L136" s="19">
        <f>O136+L137/(1+'Calculations'!$E$3)</f>
        <v>608.4448035458111</v>
      </c>
      <c r="M136" s="19">
        <f>O136+M137/(H136+'Calculations'!$E$3-'Calculations'!$E$1+1)</f>
        <v>672.363063177089</v>
      </c>
      <c r="N136" s="21">
        <f>(I136/I137)^4*(O136+N137)</f>
        <v>544.586679153630</v>
      </c>
      <c r="O136" s="19">
        <f>C136*$G$151/G137</f>
        <v>22.7056360316494</v>
      </c>
      <c r="P136" s="19">
        <f>(K137-K136+O136)/K136</f>
        <v>0.291502969470923</v>
      </c>
      <c r="Q136" s="19">
        <f>LN(1+P136)</f>
        <v>0.255806632793022</v>
      </c>
      <c r="R136" s="19">
        <f>D136*$G$151/G137</f>
        <v>52.8536749847839</v>
      </c>
      <c r="S136" s="19">
        <f>K136/R135</f>
        <v>24.2537764350453</v>
      </c>
      <c r="T136" s="19">
        <f>AVERAGE(R127:R136)</f>
        <v>43.2829554256613</v>
      </c>
      <c r="U136" s="19">
        <f>K136/T135</f>
        <v>32.2903984568103</v>
      </c>
      <c r="V136" s="11"/>
      <c r="W136" s="11"/>
      <c r="X136" s="11"/>
      <c r="Y136" s="11"/>
      <c r="Z136" s="11"/>
      <c r="AA136" s="11"/>
      <c r="AB136" s="13"/>
    </row>
    <row r="137" ht="15" customHeight="1">
      <c r="A137" s="17">
        <v>1999</v>
      </c>
      <c r="B137" s="18">
        <v>1248.77</v>
      </c>
      <c r="C137" s="18">
        <v>16.69</v>
      </c>
      <c r="D137" s="18">
        <v>48.17</v>
      </c>
      <c r="E137" s="18">
        <v>5.31</v>
      </c>
      <c r="F137" s="18">
        <v>4.72</v>
      </c>
      <c r="G137" s="18">
        <v>164.3</v>
      </c>
      <c r="H137" s="19">
        <f>(1+E137/100)*G137/G138</f>
        <v>1.02502565165877</v>
      </c>
      <c r="I137" s="21">
        <f>'Consumption'!G115</f>
        <v>25922.5713140108</v>
      </c>
      <c r="J137" s="19">
        <f>J136+1</f>
        <v>1999</v>
      </c>
      <c r="K137" s="19">
        <f>B137*$G$151/G137</f>
        <v>1750.2541424224</v>
      </c>
      <c r="L137" s="19">
        <f>O137+L138/(1+'Calculations'!$E$3)</f>
        <v>623.992782499836</v>
      </c>
      <c r="M137" s="19">
        <f>O137+M138/(H137+'Calculations'!$E$3-'Calculations'!$E$1+1)</f>
        <v>700.0202113435799</v>
      </c>
      <c r="N137" s="21">
        <f>(I137/I138)^4*(O137+N138)</f>
        <v>621.012867024276</v>
      </c>
      <c r="O137" s="19">
        <f>C137*$G$151/G138</f>
        <v>22.7687985781991</v>
      </c>
      <c r="P137" s="19">
        <f>(K138-K137+O137)/K137</f>
        <v>0.124170657860982</v>
      </c>
      <c r="Q137" s="19">
        <f>LN(1+P137)</f>
        <v>0.117045570783537</v>
      </c>
      <c r="R137" s="19">
        <f>D137*$G$151/G138</f>
        <v>65.71438151658769</v>
      </c>
      <c r="S137" s="19">
        <f>K137/R136</f>
        <v>33.1150888358526</v>
      </c>
      <c r="T137" s="19">
        <f>AVERAGE(R128:R137)</f>
        <v>45.7205602963154</v>
      </c>
      <c r="U137" s="19">
        <f>K137/T136</f>
        <v>40.4374915069853</v>
      </c>
      <c r="V137" s="11"/>
      <c r="W137" s="11"/>
      <c r="X137" s="11"/>
      <c r="Y137" s="11"/>
      <c r="Z137" s="11"/>
      <c r="AA137" s="11"/>
      <c r="AB137" s="13"/>
    </row>
    <row r="138" ht="15" customHeight="1">
      <c r="A138" s="17">
        <v>2000</v>
      </c>
      <c r="B138" s="18">
        <v>1425.59</v>
      </c>
      <c r="C138" s="18">
        <v>16.27</v>
      </c>
      <c r="D138" s="18">
        <v>50</v>
      </c>
      <c r="E138" s="18">
        <v>6.61</v>
      </c>
      <c r="F138" s="18">
        <v>6.66</v>
      </c>
      <c r="G138" s="18">
        <v>168.8</v>
      </c>
      <c r="H138" s="19">
        <f>(1+E138/100)*G138/G139</f>
        <v>1.02774231867504</v>
      </c>
      <c r="I138" s="21">
        <f>'Consumption'!G116</f>
        <v>26939.6238841696</v>
      </c>
      <c r="J138" s="19">
        <f>J137+1</f>
        <v>2000</v>
      </c>
      <c r="K138" s="19">
        <f>B138*$G$151/G138</f>
        <v>1944.8155521327</v>
      </c>
      <c r="L138" s="19">
        <f>O138+L139/(1+'Calculations'!$E$3)</f>
        <v>640.488885564970</v>
      </c>
      <c r="M138" s="19">
        <f>O138+M139/(H138+'Calculations'!$E$3-'Calculations'!$E$1+1)</f>
        <v>719.995785595693</v>
      </c>
      <c r="N138" s="21">
        <f>(I138/I139)^4*(O138+N139)</f>
        <v>701.591099861918</v>
      </c>
      <c r="O138" s="19">
        <f>C138*$G$151/G139</f>
        <v>21.397233580811</v>
      </c>
      <c r="P138" s="19">
        <f>(K139-K138+O138)/K138</f>
        <v>-0.08581051029283519</v>
      </c>
      <c r="Q138" s="19">
        <f>LN(1+P138)</f>
        <v>-0.0897174098611858</v>
      </c>
      <c r="R138" s="19">
        <f>D138*$G$151/G139</f>
        <v>65.7567104511708</v>
      </c>
      <c r="S138" s="19">
        <f>K138/R137</f>
        <v>29.5949761262196</v>
      </c>
      <c r="T138" s="19">
        <f>AVERAGE(R129:R138)</f>
        <v>48.6452839417297</v>
      </c>
      <c r="U138" s="19">
        <f>K138/T137</f>
        <v>42.5370017236957</v>
      </c>
      <c r="V138" s="11"/>
      <c r="W138" s="11"/>
      <c r="X138" s="11"/>
      <c r="Y138" s="11"/>
      <c r="Z138" s="11"/>
      <c r="AA138" s="11"/>
      <c r="AB138" s="13"/>
    </row>
    <row r="139" ht="15" customHeight="1">
      <c r="A139" s="17">
        <v>2001</v>
      </c>
      <c r="B139" s="18">
        <v>1335.63</v>
      </c>
      <c r="C139" s="18">
        <v>15.74</v>
      </c>
      <c r="D139" s="18">
        <v>24.69</v>
      </c>
      <c r="E139" s="18">
        <v>4.63</v>
      </c>
      <c r="F139" s="18">
        <v>5.16</v>
      </c>
      <c r="G139" s="18">
        <v>175.1</v>
      </c>
      <c r="H139" s="19">
        <f>(1+E139/100)*G139/G140</f>
        <v>1.03448407679277</v>
      </c>
      <c r="I139" s="21">
        <f>'Consumption'!G117</f>
        <v>27388.9391294594</v>
      </c>
      <c r="J139" s="19">
        <f>J138+1</f>
        <v>2001</v>
      </c>
      <c r="K139" s="19">
        <f>B139*$G$151/G139</f>
        <v>1756.532703597940</v>
      </c>
      <c r="L139" s="19">
        <f>O139+L140/(1+'Calculations'!$E$3)</f>
        <v>659.523460217769</v>
      </c>
      <c r="M139" s="19">
        <f>O139+M140/(H139+'Calculations'!$E$3-'Calculations'!$E$1+1)</f>
        <v>744.588098147986</v>
      </c>
      <c r="N139" s="21">
        <f>(I139/I140)^4*(O139+N140)</f>
        <v>728.184167526013</v>
      </c>
      <c r="O139" s="19">
        <f>C139*$G$151/G140</f>
        <v>20.4664438170525</v>
      </c>
      <c r="P139" s="19">
        <f>(K140-K139+O139)/K139</f>
        <v>-0.144302094639159</v>
      </c>
      <c r="Q139" s="19">
        <f>LN(1+P139)</f>
        <v>-0.155837879427384</v>
      </c>
      <c r="R139" s="19">
        <f>D139*$G$151/G140</f>
        <v>32.1039706380576</v>
      </c>
      <c r="S139" s="19">
        <f>K139/R138</f>
        <v>26.7125999999999</v>
      </c>
      <c r="T139" s="19">
        <f>AVERAGE(R130:R139)</f>
        <v>49.1927037426824</v>
      </c>
      <c r="U139" s="19">
        <f>K139/T138</f>
        <v>36.1090029960977</v>
      </c>
      <c r="V139" s="11"/>
      <c r="W139" s="11"/>
      <c r="X139" s="11"/>
      <c r="Y139" s="11"/>
      <c r="Z139" s="11"/>
      <c r="AA139" s="11"/>
      <c r="AB139" s="13"/>
    </row>
    <row r="140" ht="15" customHeight="1">
      <c r="A140" s="17">
        <v>2002</v>
      </c>
      <c r="B140" s="18">
        <v>1140.21</v>
      </c>
      <c r="C140" s="18">
        <v>16.07</v>
      </c>
      <c r="D140" s="18">
        <v>27.59</v>
      </c>
      <c r="E140" s="18">
        <v>1.85</v>
      </c>
      <c r="F140" s="18">
        <v>5.04</v>
      </c>
      <c r="G140" s="18">
        <v>177.1</v>
      </c>
      <c r="H140" s="19">
        <f>(1+E140/100)*G140/G141</f>
        <v>0.992715189873418</v>
      </c>
      <c r="I140" s="21">
        <f>'Consumption'!G118</f>
        <v>27848.5011542935</v>
      </c>
      <c r="J140" s="19">
        <f>J139+1</f>
        <v>2002</v>
      </c>
      <c r="K140" s="19">
        <f>B140*$G$151/G140</f>
        <v>1482.594911349520</v>
      </c>
      <c r="L140" s="19">
        <f>O140+L141/(1+'Calculations'!$E$3)</f>
        <v>680.792728156232</v>
      </c>
      <c r="M140" s="19">
        <f>O140+M141/(H140+'Calculations'!$E$3-'Calculations'!$E$1+1)</f>
        <v>776.673268684779</v>
      </c>
      <c r="N140" s="21">
        <f>(I140/I141)^4*(O140+N141)</f>
        <v>757.834741764477</v>
      </c>
      <c r="O140" s="19">
        <f>C140*$G$151/G141</f>
        <v>20.3665360484315</v>
      </c>
      <c r="P140" s="19">
        <f>(K141-K140+O140)/K140</f>
        <v>-0.220473710205949</v>
      </c>
      <c r="Q140" s="19">
        <f>LN(1+P140)</f>
        <v>-0.249068864569322</v>
      </c>
      <c r="R140" s="19">
        <f>D140*$G$151/G141</f>
        <v>34.9665668684645</v>
      </c>
      <c r="S140" s="19">
        <f>K140/R139</f>
        <v>46.1810449574727</v>
      </c>
      <c r="T140" s="19">
        <f>AVERAGE(R131:R140)</f>
        <v>49.6065797843676</v>
      </c>
      <c r="U140" s="19">
        <f>K140/T139</f>
        <v>30.1385123920956</v>
      </c>
      <c r="V140" s="11"/>
      <c r="W140" s="11"/>
      <c r="X140" s="11"/>
      <c r="Y140" s="11"/>
      <c r="Z140" s="11"/>
      <c r="AA140" s="11"/>
      <c r="AB140" s="13"/>
    </row>
    <row r="141" ht="15" customHeight="1">
      <c r="A141" s="17">
        <v>2003</v>
      </c>
      <c r="B141" s="18">
        <v>895.84</v>
      </c>
      <c r="C141" s="18">
        <v>17.39</v>
      </c>
      <c r="D141" s="18">
        <v>48.74</v>
      </c>
      <c r="E141" s="18">
        <v>1.18</v>
      </c>
      <c r="F141" s="18">
        <v>4.05</v>
      </c>
      <c r="G141" s="18">
        <v>181.7</v>
      </c>
      <c r="H141" s="19">
        <f>(1+E141/100)*G141/G142</f>
        <v>0.992678509719222</v>
      </c>
      <c r="I141" s="21">
        <f>'Consumption'!G119</f>
        <v>28368.6869902899</v>
      </c>
      <c r="J141" s="19">
        <f>J140+1</f>
        <v>2003</v>
      </c>
      <c r="K141" s="19">
        <f>B141*$G$151/G141</f>
        <v>1135.3551744634</v>
      </c>
      <c r="L141" s="19">
        <f>O141+L142/(1+'Calculations'!$E$3)</f>
        <v>703.557487879883</v>
      </c>
      <c r="M141" s="19">
        <f>O141+M142/(H141+'Calculations'!$E$3-'Calculations'!$E$1+1)</f>
        <v>779.604021332005</v>
      </c>
      <c r="N141" s="21">
        <f>(I141/I142)^4*(O141+N142)</f>
        <v>795.697332318916</v>
      </c>
      <c r="O141" s="19">
        <f>C141*$G$151/G142</f>
        <v>21.6229438444924</v>
      </c>
      <c r="P141" s="19">
        <f>(K142-K141+O141)/K141</f>
        <v>0.25935260707809</v>
      </c>
      <c r="Q141" s="19">
        <f>LN(1+P141)</f>
        <v>0.230597785014651</v>
      </c>
      <c r="R141" s="19">
        <f>D141*$G$151/G142</f>
        <v>60.6039265658747</v>
      </c>
      <c r="S141" s="19">
        <f>K141/R140</f>
        <v>32.4697354113809</v>
      </c>
      <c r="T141" s="19">
        <f>AVERAGE(R132:R141)</f>
        <v>52.2190728513518</v>
      </c>
      <c r="U141" s="19">
        <f>K141/T140</f>
        <v>22.8871891470571</v>
      </c>
      <c r="V141" s="11"/>
      <c r="W141" s="11"/>
      <c r="X141" s="11"/>
      <c r="Y141" s="11"/>
      <c r="Z141" s="11"/>
      <c r="AA141" s="11"/>
      <c r="AB141" s="13"/>
    </row>
    <row r="142" ht="15" customHeight="1">
      <c r="A142" s="17">
        <v>2004</v>
      </c>
      <c r="B142" s="23">
        <v>1132.52</v>
      </c>
      <c r="C142" s="18">
        <v>19.44</v>
      </c>
      <c r="D142" s="18">
        <v>58.55</v>
      </c>
      <c r="E142" s="18">
        <v>1.49</v>
      </c>
      <c r="F142" s="18">
        <v>4.15</v>
      </c>
      <c r="G142" s="18">
        <v>185.2</v>
      </c>
      <c r="H142" s="19">
        <f>(1+E142/100)*G142/G143</f>
        <v>0.985629155742003</v>
      </c>
      <c r="I142" s="21">
        <f>'Consumption'!G120</f>
        <v>29087.2956352182</v>
      </c>
      <c r="J142" s="19">
        <f>J141+1</f>
        <v>2004</v>
      </c>
      <c r="K142" s="19">
        <f>B142*$G$151/G142</f>
        <v>1408.189555075590</v>
      </c>
      <c r="L142" s="19">
        <f>O142+L143/(1+'Calculations'!$E$3)</f>
        <v>726.470513183007</v>
      </c>
      <c r="M142" s="19">
        <f>O142+M143/(H142+'Calculations'!$E$3-'Calculations'!$E$1+1)</f>
        <v>781.302139874816</v>
      </c>
      <c r="N142" s="21">
        <f>(I142/I143)^4*(O142+N143)</f>
        <v>857.813259578944</v>
      </c>
      <c r="O142" s="19">
        <f>C142*$G$151/G143</f>
        <v>23.4747939171474</v>
      </c>
      <c r="P142" s="19">
        <f>(K143-K142+O142)/K142</f>
        <v>0.0297532502936356</v>
      </c>
      <c r="Q142" s="19">
        <f>LN(1+P142)</f>
        <v>0.0293192107200748</v>
      </c>
      <c r="R142" s="19">
        <f>D142*$G$151/G143</f>
        <v>70.7021185107499</v>
      </c>
      <c r="S142" s="19">
        <f>K142/R141</f>
        <v>23.235945835043</v>
      </c>
      <c r="T142" s="19">
        <f>AVERAGE(R133:R142)</f>
        <v>54.6009493730854</v>
      </c>
      <c r="U142" s="19">
        <f>K142/T141</f>
        <v>26.9669582047958</v>
      </c>
      <c r="V142" s="11"/>
      <c r="W142" s="11"/>
      <c r="X142" s="11"/>
      <c r="Y142" s="11"/>
      <c r="Z142" s="11"/>
      <c r="AA142" s="11"/>
      <c r="AB142" s="13"/>
    </row>
    <row r="143" ht="15" customHeight="1">
      <c r="A143" s="17">
        <v>2005</v>
      </c>
      <c r="B143" s="23">
        <v>1181.41</v>
      </c>
      <c r="C143" s="18">
        <v>22.22</v>
      </c>
      <c r="D143" s="18">
        <v>69.93000000000001</v>
      </c>
      <c r="E143" s="18">
        <v>3.41</v>
      </c>
      <c r="F143" s="18">
        <v>4.22</v>
      </c>
      <c r="G143" s="18">
        <v>190.7</v>
      </c>
      <c r="H143" s="19">
        <f>(1+E143/100)*G143/G144</f>
        <v>0.994467322239032</v>
      </c>
      <c r="I143" s="21">
        <f>'Consumption'!G121</f>
        <v>29790.2957748382</v>
      </c>
      <c r="J143" s="19">
        <f>J142+1</f>
        <v>2005</v>
      </c>
      <c r="K143" s="19">
        <f>B143*$G$151/G143</f>
        <v>1426.612977451490</v>
      </c>
      <c r="L143" s="19">
        <f>O143+L144/(1+'Calculations'!$E$3)</f>
        <v>748.907157450029</v>
      </c>
      <c r="M143" s="19">
        <f>O143+M144/(H143+'Calculations'!$E$3-'Calculations'!$E$1+1)</f>
        <v>775.801485219278</v>
      </c>
      <c r="N143" s="21">
        <f>(I143/I144)^4*(O143+N144)</f>
        <v>920.322299859194</v>
      </c>
      <c r="O143" s="19">
        <f>C143*$G$151/G144</f>
        <v>25.8034372163389</v>
      </c>
      <c r="P143" s="19">
        <f>(K144-K143+O143)/K143</f>
        <v>0.058980447745969</v>
      </c>
      <c r="Q143" s="19">
        <f>LN(1+P143)</f>
        <v>0.057306603508288</v>
      </c>
      <c r="R143" s="19">
        <f>D143*$G$151/G144</f>
        <v>81.2076671709531</v>
      </c>
      <c r="S143" s="19">
        <f>K143/R142</f>
        <v>20.1777967549103</v>
      </c>
      <c r="T143" s="19">
        <f>AVERAGE(R134:R143)</f>
        <v>57.6567492508025</v>
      </c>
      <c r="U143" s="19">
        <f>K143/T142</f>
        <v>26.1279885026086</v>
      </c>
      <c r="V143" s="11"/>
      <c r="W143" s="11"/>
      <c r="X143" s="11"/>
      <c r="Y143" s="11"/>
      <c r="Z143" s="11"/>
      <c r="AA143" s="11"/>
      <c r="AB143" s="13"/>
    </row>
    <row r="144" ht="15" customHeight="1">
      <c r="A144" s="17">
        <v>2006</v>
      </c>
      <c r="B144" s="18">
        <v>1278.73</v>
      </c>
      <c r="C144" s="18">
        <v>24.88</v>
      </c>
      <c r="D144" s="18">
        <v>81.51000000000001</v>
      </c>
      <c r="E144" s="18">
        <v>5.32</v>
      </c>
      <c r="F144" s="19">
        <v>4.42</v>
      </c>
      <c r="G144" s="18">
        <v>198.3</v>
      </c>
      <c r="H144" s="19">
        <f>(1+E144/100)*G144/G145</f>
        <v>1.03178385107897</v>
      </c>
      <c r="I144" s="21">
        <f>'Consumption'!G122</f>
        <v>30364.4334381902</v>
      </c>
      <c r="J144" s="19">
        <v>2006</v>
      </c>
      <c r="K144" s="19">
        <f>B144*$G$151/G144</f>
        <v>1484.951812405450</v>
      </c>
      <c r="L144" s="19">
        <f>O144+L145/(1+'Calculations'!$E$3)</f>
        <v>770.328377286967</v>
      </c>
      <c r="M144" s="19">
        <f>O144+M145/(H144+'Calculations'!$E$3-'Calculations'!$E$1+1)</f>
        <v>774.415099696876</v>
      </c>
      <c r="N144" s="21">
        <f>(I144/I145)^4*(O144+N145)</f>
        <v>967.544543534072</v>
      </c>
      <c r="O144" s="19">
        <f>C144*$G$151/G145</f>
        <v>28.3049087028693</v>
      </c>
      <c r="P144" s="19">
        <f>(K145-K144+O144)/K144</f>
        <v>0.110144203743051</v>
      </c>
      <c r="Q144" s="19">
        <f>LN(1+P144)</f>
        <v>0.104489920168271</v>
      </c>
      <c r="R144" s="19">
        <f>D144*$G$151/G145</f>
        <v>92.73043040075881</v>
      </c>
      <c r="S144" s="19">
        <f>K144/R143</f>
        <v>18.2858572858573</v>
      </c>
      <c r="T144" s="19">
        <f>AVERAGE(R135:R144)</f>
        <v>61.3240447107401</v>
      </c>
      <c r="U144" s="19">
        <f>K144/T143</f>
        <v>25.7550387717147</v>
      </c>
      <c r="V144" s="11"/>
      <c r="W144" s="11"/>
      <c r="X144" s="11"/>
      <c r="Y144" s="11"/>
      <c r="Z144" s="11"/>
      <c r="AA144" s="11"/>
      <c r="AB144" s="13"/>
    </row>
    <row r="145" ht="15" customHeight="1">
      <c r="A145" s="17">
        <v>2007</v>
      </c>
      <c r="B145" s="18">
        <v>1424.16</v>
      </c>
      <c r="C145" s="18">
        <v>27.73</v>
      </c>
      <c r="D145" s="18">
        <v>66.18000000000001</v>
      </c>
      <c r="E145" s="18">
        <v>5.34</v>
      </c>
      <c r="F145" s="19">
        <v>4.76</v>
      </c>
      <c r="G145" s="18">
        <v>202.416</v>
      </c>
      <c r="H145" s="19">
        <f>(1+E145/100)*G145/G146</f>
        <v>1.00968375035515</v>
      </c>
      <c r="I145" s="21">
        <f>'Consumption'!G123</f>
        <v>30867.6098721734</v>
      </c>
      <c r="J145" s="19">
        <v>2007</v>
      </c>
      <c r="K145" s="19">
        <f>B145*$G$151/G145</f>
        <v>1620.205738676780</v>
      </c>
      <c r="L145" s="19">
        <f>O145+L146/(1+'Calculations'!$E$3)</f>
        <v>790.483741777053</v>
      </c>
      <c r="M145" s="19">
        <f>O145+M146/(H145+'Calculations'!$E$3-'Calculations'!$E$1+1)</f>
        <v>798.242911477760</v>
      </c>
      <c r="N145" s="21">
        <f>(I145/I146)^4*(O145+N146)</f>
        <v>1004.985147907020</v>
      </c>
      <c r="O145" s="19">
        <f>C145*$G$151/G146</f>
        <v>30.238016857657</v>
      </c>
      <c r="P145" s="19">
        <f>(K146-K145+O145)/K145</f>
        <v>-0.053392550559229</v>
      </c>
      <c r="Q145" s="19">
        <f>LN(1+P145)</f>
        <v>-0.0548707918591773</v>
      </c>
      <c r="R145" s="19">
        <f>D145*$G$151/G146</f>
        <v>72.1655952268207</v>
      </c>
      <c r="S145" s="19">
        <f>K145/R144</f>
        <v>17.4722119985277</v>
      </c>
      <c r="T145" s="19">
        <f>AVERAGE(R136:R145)</f>
        <v>62.8805042334222</v>
      </c>
      <c r="U145" s="19">
        <f>K145/T144</f>
        <v>26.4203991488028</v>
      </c>
      <c r="V145" s="11"/>
      <c r="W145" s="11"/>
      <c r="X145" s="11"/>
      <c r="Y145" s="11"/>
      <c r="Z145" s="11"/>
      <c r="AA145" s="11"/>
      <c r="AB145" s="13"/>
    </row>
    <row r="146" ht="15" customHeight="1">
      <c r="A146" s="17">
        <v>2008</v>
      </c>
      <c r="B146" s="18">
        <v>1378.76</v>
      </c>
      <c r="C146" s="18">
        <v>28.39</v>
      </c>
      <c r="D146" s="18">
        <v>14.88</v>
      </c>
      <c r="E146" s="19">
        <f>(3.71+3.13)/2</f>
        <v>3.42</v>
      </c>
      <c r="F146" s="19">
        <v>3.74</v>
      </c>
      <c r="G146" s="19">
        <v>211.18</v>
      </c>
      <c r="H146" s="19">
        <f>(1+E146/100)*G146/G147</f>
        <v>1.03438122978266</v>
      </c>
      <c r="I146" s="21">
        <f>'Consumption'!G124</f>
        <v>30509.0812369265</v>
      </c>
      <c r="J146" s="19">
        <v>2008</v>
      </c>
      <c r="K146" s="19">
        <f>B146*$G$151/G146</f>
        <v>1503.460805000470</v>
      </c>
      <c r="L146" s="19">
        <f>O146+L147/(1+'Calculations'!$E$3)</f>
        <v>809.896062251274</v>
      </c>
      <c r="M146" s="19">
        <f>O146+M147/(H146+'Calculations'!$E$3-'Calculations'!$E$1+1)</f>
        <v>804.694471251216</v>
      </c>
      <c r="N146" s="21">
        <f>(I146/I147)^4*(O146+N147)</f>
        <v>928.8625555334889</v>
      </c>
      <c r="O146" s="19">
        <f>C146*$G$151/G147</f>
        <v>30.9631349369858</v>
      </c>
      <c r="P146" s="19">
        <f>(K147-K146+O146)/K146</f>
        <v>-0.351499422421659</v>
      </c>
      <c r="Q146" s="19">
        <f>LN(1+P146)</f>
        <v>-0.433092384588655</v>
      </c>
      <c r="R146" s="19">
        <f>D146*$G$151/G147</f>
        <v>16.2286526193149</v>
      </c>
      <c r="S146" s="19">
        <f>K146/R145</f>
        <v>20.8334844363856</v>
      </c>
      <c r="T146" s="19">
        <f>AVERAGE(R137:R146)</f>
        <v>59.2180019968753</v>
      </c>
      <c r="U146" s="19">
        <f>K146/T145</f>
        <v>23.9098083472644</v>
      </c>
      <c r="V146" s="11"/>
      <c r="W146" s="11"/>
      <c r="X146" s="11"/>
      <c r="Y146" s="11"/>
      <c r="Z146" s="11"/>
      <c r="AA146" s="11"/>
      <c r="AB146" s="13"/>
    </row>
    <row r="147" ht="15" customHeight="1">
      <c r="A147" s="17">
        <v>2009</v>
      </c>
      <c r="B147" s="18">
        <v>865.58</v>
      </c>
      <c r="C147" s="19">
        <v>22.41</v>
      </c>
      <c r="D147" s="19">
        <v>50.97</v>
      </c>
      <c r="E147" s="24">
        <f>(1.53+0.5)/2</f>
        <v>1.015</v>
      </c>
      <c r="F147" s="19">
        <v>2.52</v>
      </c>
      <c r="G147" s="19">
        <v>211.143</v>
      </c>
      <c r="H147" s="19">
        <f>(1+E147/100)*G147/G148</f>
        <v>0.984305018067535</v>
      </c>
      <c r="I147" s="21">
        <f>'Consumption'!G125</f>
        <v>29933.8546757902</v>
      </c>
      <c r="J147" s="19">
        <v>2009</v>
      </c>
      <c r="K147" s="19">
        <f>B147*$G$151/G147</f>
        <v>944.032065472216</v>
      </c>
      <c r="L147" s="19">
        <f>$B147*$G$145/$G147</f>
        <v>829.803693610491</v>
      </c>
      <c r="M147" s="19">
        <f>$B147*$G$145/$G147</f>
        <v>829.803693610491</v>
      </c>
      <c r="N147" s="19">
        <f>$B147*$G$145/$G147</f>
        <v>829.803693610491</v>
      </c>
      <c r="O147" s="19">
        <f>C147*$G$151/G148</f>
        <v>23.8158025169946</v>
      </c>
      <c r="P147" s="19">
        <f>(K148-K147+O147)/K147</f>
        <v>0.290082386500756</v>
      </c>
      <c r="Q147" s="19">
        <f>LN(1+P147)</f>
        <v>0.254706081838728</v>
      </c>
      <c r="R147" s="19">
        <f>D147*$G$151/G148</f>
        <v>54.1674009054535</v>
      </c>
      <c r="S147" s="19">
        <f>K147/R146</f>
        <v>58.1706989247311</v>
      </c>
      <c r="T147" s="19">
        <f>AVERAGE(R138:R147)</f>
        <v>58.0633039357619</v>
      </c>
      <c r="U147" s="19">
        <f>K147/T146</f>
        <v>15.9416399344583</v>
      </c>
      <c r="V147" s="11"/>
      <c r="W147" s="11"/>
      <c r="X147" s="11"/>
      <c r="Y147" s="11"/>
      <c r="Z147" s="11"/>
      <c r="AA147" s="11"/>
      <c r="AB147" s="13"/>
    </row>
    <row r="148" ht="15" customHeight="1">
      <c r="A148" s="17">
        <v>2010</v>
      </c>
      <c r="B148" s="19">
        <v>1123.58</v>
      </c>
      <c r="C148" s="18">
        <v>22.73</v>
      </c>
      <c r="D148" s="18">
        <v>77.34999999999999</v>
      </c>
      <c r="E148" s="19">
        <f>(0.29+0.62)/2</f>
        <v>0.455</v>
      </c>
      <c r="F148" s="19">
        <v>3.73</v>
      </c>
      <c r="G148" s="19">
        <v>216.687</v>
      </c>
      <c r="H148" s="19">
        <f>(1+E148/100)*G148/G149</f>
        <v>0.988420491274753</v>
      </c>
      <c r="I148" s="11"/>
      <c r="J148" s="19">
        <v>2010</v>
      </c>
      <c r="K148" s="19">
        <f>B148*$G$151/G148</f>
        <v>1194.063337440640</v>
      </c>
      <c r="L148" s="11"/>
      <c r="M148" s="11"/>
      <c r="N148" s="11"/>
      <c r="O148" s="19">
        <f>C148*$G$151/G149</f>
        <v>23.7680187809629</v>
      </c>
      <c r="P148" s="19">
        <f>(K149-K148+O148)/K148</f>
        <v>0.143123507496116</v>
      </c>
      <c r="Q148" s="19">
        <f>LN(1+P148)</f>
        <v>0.13376443452725</v>
      </c>
      <c r="R148" s="19">
        <f>D148*$G$151/G149</f>
        <v>80.8823692348211</v>
      </c>
      <c r="S148" s="19">
        <f>K148/R147</f>
        <v>22.043947420051</v>
      </c>
      <c r="T148" s="19">
        <f>AVERAGE(R139:R148)</f>
        <v>59.5758698141269</v>
      </c>
      <c r="U148" s="19">
        <f>K148/T147</f>
        <v>20.5648534703035</v>
      </c>
      <c r="V148" s="11"/>
      <c r="W148" s="11"/>
      <c r="X148" s="11"/>
      <c r="Y148" s="11"/>
      <c r="Z148" s="11"/>
      <c r="AA148" s="11"/>
      <c r="AB148" s="13"/>
    </row>
    <row r="149" ht="15" customHeight="1">
      <c r="A149" s="17">
        <v>2011</v>
      </c>
      <c r="B149" s="19">
        <v>1282.62</v>
      </c>
      <c r="C149" s="18">
        <v>26.43</v>
      </c>
      <c r="D149" s="18">
        <v>86.95</v>
      </c>
      <c r="E149" s="19">
        <f>(0.38+0.35)/2</f>
        <v>0.365</v>
      </c>
      <c r="F149" s="19">
        <v>3.39</v>
      </c>
      <c r="G149" s="19">
        <v>220.223</v>
      </c>
      <c r="H149" s="19">
        <f>(1+E149/100)*G149/G150</f>
        <v>0.975125466878433</v>
      </c>
      <c r="I149" s="11"/>
      <c r="J149" s="19">
        <v>2011</v>
      </c>
      <c r="K149" s="19">
        <f>B149*$G$151/G149</f>
        <v>1341.1938516867</v>
      </c>
      <c r="L149" s="11"/>
      <c r="M149" s="11"/>
      <c r="N149" s="11"/>
      <c r="O149" s="19">
        <f>C149*$G$151/G150</f>
        <v>26.8515227317848</v>
      </c>
      <c r="P149" s="19">
        <f>(K150-K149+O149)/K149</f>
        <v>0.00520443926653591</v>
      </c>
      <c r="Q149" s="19">
        <f>LN(1+P149)</f>
        <v>0.00519094297931506</v>
      </c>
      <c r="R149" s="19">
        <f>D149*$G$151/G150</f>
        <v>88.33673482893261</v>
      </c>
      <c r="S149" s="19">
        <f>K149/R148</f>
        <v>16.5820297349709</v>
      </c>
      <c r="T149" s="19">
        <f>AVERAGE(R140:R149)</f>
        <v>65.19914623321441</v>
      </c>
      <c r="U149" s="19">
        <f>K149/T148</f>
        <v>22.5123671021698</v>
      </c>
      <c r="V149" s="11"/>
      <c r="W149" s="11"/>
      <c r="X149" s="11"/>
      <c r="Y149" s="11"/>
      <c r="Z149" s="11"/>
      <c r="AA149" s="11"/>
      <c r="AB149" s="13"/>
    </row>
    <row r="150" ht="15" customHeight="1">
      <c r="A150" s="17">
        <v>2012</v>
      </c>
      <c r="B150" s="18">
        <v>1300.58</v>
      </c>
      <c r="C150" s="18">
        <v>31.25</v>
      </c>
      <c r="D150" s="18">
        <v>86.51000000000001</v>
      </c>
      <c r="E150" s="19"/>
      <c r="F150" s="19">
        <v>1.97</v>
      </c>
      <c r="G150" s="19">
        <v>226.665</v>
      </c>
      <c r="H150" s="19">
        <f>(1+E150/100)*G150/G151</f>
        <v>0.9843017196456491</v>
      </c>
      <c r="I150" s="11"/>
      <c r="J150" s="19">
        <v>2012</v>
      </c>
      <c r="K150" s="19">
        <f>B150*$G$151/G150</f>
        <v>1321.322490900670</v>
      </c>
      <c r="L150" s="11"/>
      <c r="M150" s="11"/>
      <c r="N150" s="11"/>
      <c r="O150" s="19">
        <f>C150*$G$151/G151</f>
        <v>31.25</v>
      </c>
      <c r="P150" s="19">
        <f>(K151-K150+O150)/K150</f>
        <v>0.144043191885423</v>
      </c>
      <c r="Q150" s="19">
        <f>LN(1+P150)</f>
        <v>0.134568647389499</v>
      </c>
      <c r="R150" s="11"/>
      <c r="S150" s="19">
        <f>K150/R149</f>
        <v>14.9577918343876</v>
      </c>
      <c r="T150" s="19">
        <f>AVERAGE(R141:R150)</f>
        <v>68.5583217181866</v>
      </c>
      <c r="U150" s="19">
        <f>K150/T149</f>
        <v>20.265947749904</v>
      </c>
      <c r="V150" s="11"/>
      <c r="W150" s="11"/>
      <c r="X150" s="11"/>
      <c r="Y150" s="11"/>
      <c r="Z150" s="11"/>
      <c r="AA150" s="11"/>
      <c r="AB150" s="13"/>
    </row>
    <row r="151" ht="15" customHeight="1">
      <c r="A151" s="17">
        <v>2013</v>
      </c>
      <c r="B151" s="18">
        <v>1480.4</v>
      </c>
      <c r="C151" s="18">
        <v>34.99</v>
      </c>
      <c r="D151" s="18">
        <v>100.2</v>
      </c>
      <c r="E151" s="19"/>
      <c r="F151" s="19">
        <v>1.91</v>
      </c>
      <c r="G151" s="19">
        <v>230.28</v>
      </c>
      <c r="H151" s="11"/>
      <c r="I151" s="11"/>
      <c r="J151" s="19">
        <v>2013</v>
      </c>
      <c r="K151" s="19">
        <f>B151*$G$151/G151</f>
        <v>1480.4</v>
      </c>
      <c r="L151" s="11"/>
      <c r="M151" s="11"/>
      <c r="N151" s="11"/>
      <c r="O151" s="11"/>
      <c r="P151" s="11"/>
      <c r="Q151" s="11"/>
      <c r="R151" s="11"/>
      <c r="S151" s="11"/>
      <c r="T151" s="19">
        <f>AVERAGE(R142:R151)</f>
        <v>69.55262111222559</v>
      </c>
      <c r="U151" s="19">
        <f>K151/T150</f>
        <v>21.5932940436506</v>
      </c>
      <c r="V151" s="11"/>
      <c r="W151" s="11"/>
      <c r="X151" s="11"/>
      <c r="Y151" s="11"/>
      <c r="Z151" s="11"/>
      <c r="AA151" s="11"/>
      <c r="AB151" s="13"/>
    </row>
    <row r="152" ht="12.75" customHeight="1">
      <c r="A152" s="17">
        <v>2014</v>
      </c>
      <c r="B152" s="18">
        <v>1822.36</v>
      </c>
      <c r="C152" s="18">
        <v>39.44</v>
      </c>
      <c r="D152" s="18">
        <v>102.31</v>
      </c>
      <c r="E152" s="11"/>
      <c r="F152" s="19">
        <v>2.86</v>
      </c>
      <c r="G152" s="25">
        <v>233.916</v>
      </c>
      <c r="H152" s="11"/>
      <c r="I152" s="11"/>
      <c r="J152" s="11"/>
      <c r="K152" s="19">
        <f>B152*$G$151/G152</f>
        <v>1794.033160621760</v>
      </c>
      <c r="L152" s="11"/>
      <c r="M152" s="11"/>
      <c r="N152" s="11"/>
      <c r="O152" s="11"/>
      <c r="P152" s="11"/>
      <c r="Q152" s="11"/>
      <c r="R152" s="11"/>
      <c r="S152" s="11"/>
      <c r="T152" s="11"/>
      <c r="U152" s="11"/>
      <c r="V152" s="11"/>
      <c r="W152" s="11"/>
      <c r="X152" s="11"/>
      <c r="Y152" s="11"/>
      <c r="Z152" s="11"/>
      <c r="AA152" s="11"/>
      <c r="AB152" s="13"/>
    </row>
    <row r="153" ht="12.75" customHeight="1">
      <c r="A153" s="17">
        <v>2015</v>
      </c>
      <c r="B153" s="18">
        <v>2028.18</v>
      </c>
      <c r="C153" s="18">
        <v>43.39</v>
      </c>
      <c r="D153" s="11"/>
      <c r="E153" s="11"/>
      <c r="F153" s="19">
        <v>1.88</v>
      </c>
      <c r="G153" s="25">
        <v>233.707</v>
      </c>
      <c r="H153" s="11"/>
      <c r="I153" s="11"/>
      <c r="J153" s="11"/>
      <c r="K153" s="19">
        <f>B153*$G$151/G153</f>
        <v>1998.439457953760</v>
      </c>
      <c r="L153" s="11"/>
      <c r="M153" s="11"/>
      <c r="N153" s="11"/>
      <c r="O153" s="11"/>
      <c r="P153" s="11"/>
      <c r="Q153" s="11"/>
      <c r="R153" s="11"/>
      <c r="S153" s="11"/>
      <c r="T153" s="11"/>
      <c r="U153" s="11"/>
      <c r="V153" s="11"/>
      <c r="W153" s="11"/>
      <c r="X153" s="11"/>
      <c r="Y153" s="11"/>
      <c r="Z153" s="11"/>
      <c r="AA153" s="11"/>
      <c r="AB153" s="13"/>
    </row>
    <row r="154" ht="12.75" customHeight="1">
      <c r="A154" s="17">
        <v>2016</v>
      </c>
      <c r="B154" s="18">
        <v>1918.6</v>
      </c>
      <c r="C154" s="11"/>
      <c r="D154" s="11"/>
      <c r="E154" s="11"/>
      <c r="F154" s="19"/>
      <c r="G154" s="26"/>
      <c r="H154" s="11"/>
      <c r="I154" s="11"/>
      <c r="J154" s="11"/>
      <c r="K154" s="11"/>
      <c r="L154" s="11"/>
      <c r="M154" s="11"/>
      <c r="N154" s="11"/>
      <c r="O154" s="11"/>
      <c r="P154" s="11"/>
      <c r="Q154" s="11"/>
      <c r="R154" s="11"/>
      <c r="S154" s="11"/>
      <c r="T154" s="11"/>
      <c r="U154" s="11"/>
      <c r="V154" s="11"/>
      <c r="W154" s="11"/>
      <c r="X154" s="11"/>
      <c r="Y154" s="11"/>
      <c r="Z154" s="11"/>
      <c r="AA154" s="11"/>
      <c r="AB154" s="13"/>
    </row>
    <row r="155" ht="12.75" customHeight="1">
      <c r="A155" s="14"/>
      <c r="B155" s="11"/>
      <c r="C155" s="11"/>
      <c r="D155" s="11"/>
      <c r="E155" s="11"/>
      <c r="F155" s="19"/>
      <c r="G155" s="26"/>
      <c r="H155" s="11"/>
      <c r="I155" s="11"/>
      <c r="J155" s="11"/>
      <c r="K155" s="11"/>
      <c r="L155" s="11"/>
      <c r="M155" s="11"/>
      <c r="N155" s="11"/>
      <c r="O155" s="11"/>
      <c r="P155" s="11"/>
      <c r="Q155" s="11"/>
      <c r="R155" s="11"/>
      <c r="S155" s="11"/>
      <c r="T155" s="11"/>
      <c r="U155" s="11"/>
      <c r="V155" s="11"/>
      <c r="W155" s="11"/>
      <c r="X155" s="11"/>
      <c r="Y155" s="11"/>
      <c r="Z155" s="11"/>
      <c r="AA155" s="11"/>
      <c r="AB155" s="13"/>
    </row>
    <row r="156" ht="12.75" customHeight="1">
      <c r="A156" s="14"/>
      <c r="B156" s="11"/>
      <c r="C156" s="11"/>
      <c r="D156" s="11"/>
      <c r="E156" s="11"/>
      <c r="F156" s="19"/>
      <c r="G156" s="26"/>
      <c r="H156" s="11"/>
      <c r="I156" s="11"/>
      <c r="J156" s="11"/>
      <c r="K156" s="11"/>
      <c r="L156" s="11"/>
      <c r="M156" s="11"/>
      <c r="N156" s="11"/>
      <c r="O156" s="11"/>
      <c r="P156" s="11"/>
      <c r="Q156" s="11"/>
      <c r="R156" s="11"/>
      <c r="S156" s="11"/>
      <c r="T156" s="11"/>
      <c r="U156" s="11"/>
      <c r="V156" s="11"/>
      <c r="W156" s="11"/>
      <c r="X156" s="11"/>
      <c r="Y156" s="11"/>
      <c r="Z156" s="11"/>
      <c r="AA156" s="11"/>
      <c r="AB156" s="13"/>
    </row>
    <row r="157" ht="12.75" customHeight="1">
      <c r="A157" s="14"/>
      <c r="B157" t="s" s="16">
        <v>66</v>
      </c>
      <c r="C157" s="11"/>
      <c r="D157" s="11"/>
      <c r="E157" s="11"/>
      <c r="F157" s="19"/>
      <c r="G157" s="26"/>
      <c r="H157" s="11"/>
      <c r="I157" s="11"/>
      <c r="J157" s="11"/>
      <c r="K157" s="11"/>
      <c r="L157" s="11"/>
      <c r="M157" s="11"/>
      <c r="N157" s="11"/>
      <c r="O157" s="11"/>
      <c r="P157" s="11"/>
      <c r="Q157" s="11"/>
      <c r="R157" s="11"/>
      <c r="S157" s="11"/>
      <c r="T157" s="11"/>
      <c r="U157" s="11"/>
      <c r="V157" s="11"/>
      <c r="W157" s="11"/>
      <c r="X157" s="11"/>
      <c r="Y157" s="11"/>
      <c r="Z157" s="11"/>
      <c r="AA157" s="11"/>
      <c r="AB157" s="13"/>
    </row>
    <row r="158" ht="15" customHeight="1">
      <c r="A158" s="14"/>
      <c r="B158" t="s" s="16">
        <v>67</v>
      </c>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3"/>
    </row>
    <row r="159" ht="15" customHeight="1">
      <c r="A159" s="14"/>
      <c r="B159" t="s" s="16">
        <v>68</v>
      </c>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3"/>
    </row>
    <row r="160" ht="15" customHeight="1">
      <c r="A160" s="14"/>
      <c r="B160" t="s" s="16">
        <v>69</v>
      </c>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3"/>
    </row>
    <row r="161" ht="15" customHeight="1">
      <c r="A161" s="14"/>
      <c r="B161" t="s" s="27">
        <v>70</v>
      </c>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3"/>
    </row>
    <row r="162" ht="15" customHeight="1">
      <c r="A162" s="14"/>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3"/>
    </row>
    <row r="163" ht="15" customHeight="1">
      <c r="A163" s="14"/>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3"/>
    </row>
    <row r="164" ht="15" customHeight="1">
      <c r="A164" s="14"/>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3"/>
    </row>
    <row r="165" ht="15" customHeight="1">
      <c r="A165" s="14"/>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3"/>
    </row>
    <row r="166" ht="15" customHeight="1">
      <c r="A166" s="14"/>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3"/>
    </row>
    <row r="167" ht="15" customHeight="1">
      <c r="A167" s="14"/>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3"/>
    </row>
    <row r="168" ht="15" customHeight="1">
      <c r="A168" s="14"/>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3"/>
    </row>
    <row r="169" ht="15" customHeight="1">
      <c r="A169" s="14"/>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3"/>
    </row>
    <row r="170" ht="15" customHeight="1">
      <c r="A170" s="14"/>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3"/>
    </row>
    <row r="171" ht="15" customHeight="1">
      <c r="A171" s="14"/>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3"/>
    </row>
    <row r="172" ht="15" customHeight="1">
      <c r="A172" s="14"/>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3"/>
    </row>
    <row r="173" ht="15" customHeight="1">
      <c r="A173" s="14"/>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3"/>
    </row>
    <row r="174" ht="15" customHeight="1">
      <c r="A174" s="14"/>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3"/>
    </row>
    <row r="175" ht="15" customHeight="1">
      <c r="A175" s="14"/>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3"/>
    </row>
    <row r="176" ht="15" customHeight="1">
      <c r="A176" s="14"/>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3"/>
    </row>
    <row r="177" ht="15" customHeight="1">
      <c r="A177" s="14"/>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3"/>
    </row>
    <row r="178" ht="15" customHeight="1">
      <c r="A178" s="14"/>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3"/>
    </row>
    <row r="179" ht="15" customHeight="1">
      <c r="A179" s="14"/>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3"/>
    </row>
    <row r="180" ht="15" customHeight="1">
      <c r="A180" s="14"/>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3"/>
    </row>
    <row r="181" ht="15" customHeight="1">
      <c r="A181" s="14"/>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3"/>
    </row>
    <row r="182" ht="15" customHeight="1">
      <c r="A182" s="14"/>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3"/>
    </row>
    <row r="183" ht="15" customHeight="1">
      <c r="A183" s="14"/>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3"/>
    </row>
    <row r="184" ht="15" customHeight="1">
      <c r="A184" s="14"/>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3"/>
    </row>
    <row r="185" ht="15" customHeight="1">
      <c r="A185" s="14"/>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3"/>
    </row>
    <row r="186" ht="15" customHeight="1">
      <c r="A186" s="14"/>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3"/>
    </row>
    <row r="187" ht="15" customHeight="1">
      <c r="A187" s="14"/>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3"/>
    </row>
    <row r="188" ht="15" customHeight="1">
      <c r="A188" s="14"/>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3"/>
    </row>
    <row r="189" ht="15" customHeight="1">
      <c r="A189" s="14"/>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3"/>
    </row>
    <row r="190" ht="15" customHeight="1">
      <c r="A190" s="14"/>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3"/>
    </row>
    <row r="191" ht="15" customHeight="1">
      <c r="A191" s="14"/>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3"/>
    </row>
    <row r="192" ht="15" customHeight="1">
      <c r="A192" s="14"/>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3"/>
    </row>
    <row r="193" ht="15" customHeight="1">
      <c r="A193" s="14"/>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3"/>
    </row>
    <row r="194" ht="15" customHeight="1">
      <c r="A194" s="14"/>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3"/>
    </row>
    <row r="195" ht="15" customHeight="1">
      <c r="A195" s="14"/>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3"/>
    </row>
    <row r="196" ht="15" customHeight="1">
      <c r="A196" s="14"/>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3"/>
    </row>
    <row r="197" ht="15" customHeight="1">
      <c r="A197" s="14"/>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3"/>
    </row>
    <row r="198" ht="15" customHeight="1">
      <c r="A198" s="14"/>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3"/>
    </row>
    <row r="199" ht="15" customHeight="1">
      <c r="A199" s="14"/>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3"/>
    </row>
    <row r="200" ht="15" customHeight="1">
      <c r="A200" s="14"/>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3"/>
    </row>
    <row r="201" ht="15" customHeight="1">
      <c r="A201" s="14"/>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3"/>
    </row>
    <row r="202" ht="15" customHeight="1">
      <c r="A202" s="14"/>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3"/>
    </row>
    <row r="203" ht="15" customHeight="1">
      <c r="A203" s="14"/>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3"/>
    </row>
    <row r="204" ht="15" customHeight="1">
      <c r="A204" s="14"/>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3"/>
    </row>
    <row r="205" ht="15" customHeight="1">
      <c r="A205" s="14"/>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3"/>
    </row>
    <row r="206" ht="15" customHeight="1">
      <c r="A206" s="14"/>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3"/>
    </row>
    <row r="207" ht="15" customHeight="1">
      <c r="A207" s="14"/>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3"/>
    </row>
    <row r="208" ht="15" customHeight="1">
      <c r="A208" s="14"/>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3"/>
    </row>
    <row r="209" ht="15" customHeight="1">
      <c r="A209" s="14"/>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3"/>
    </row>
    <row r="210" ht="15" customHeight="1">
      <c r="A210" s="14"/>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3"/>
    </row>
    <row r="211" ht="15" customHeight="1">
      <c r="A211" s="14"/>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3"/>
    </row>
    <row r="212" ht="15" customHeight="1">
      <c r="A212" s="14"/>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3"/>
    </row>
    <row r="213" ht="15" customHeight="1">
      <c r="A213" s="14"/>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3"/>
    </row>
    <row r="214" ht="15" customHeight="1">
      <c r="A214" s="14"/>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3"/>
    </row>
    <row r="215" ht="15" customHeight="1">
      <c r="A215" s="14"/>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3"/>
    </row>
    <row r="216" ht="15" customHeight="1">
      <c r="A216" s="14"/>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3"/>
    </row>
    <row r="217" ht="15" customHeight="1">
      <c r="A217" s="14"/>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3"/>
    </row>
    <row r="218" ht="15" customHeight="1">
      <c r="A218" s="14"/>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3"/>
    </row>
    <row r="219" ht="15" customHeight="1">
      <c r="A219" s="14"/>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3"/>
    </row>
    <row r="220" ht="15" customHeight="1">
      <c r="A220" s="14"/>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3"/>
    </row>
    <row r="221" ht="15" customHeight="1">
      <c r="A221" s="14"/>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3"/>
    </row>
    <row r="222" ht="15" customHeight="1">
      <c r="A222" s="14"/>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3"/>
    </row>
    <row r="223" ht="15" customHeight="1">
      <c r="A223" s="14"/>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3"/>
    </row>
    <row r="224" ht="15" customHeight="1">
      <c r="A224" s="14"/>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3"/>
    </row>
    <row r="225" ht="15" customHeight="1">
      <c r="A225" s="14"/>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3"/>
    </row>
    <row r="226" ht="15" customHeight="1">
      <c r="A226" s="14"/>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3"/>
    </row>
    <row r="227" ht="15" customHeight="1">
      <c r="A227" s="14"/>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3"/>
    </row>
    <row r="228" ht="15" customHeight="1">
      <c r="A228" s="14"/>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3"/>
    </row>
    <row r="229" ht="15" customHeight="1">
      <c r="A229" s="14"/>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3"/>
    </row>
    <row r="230" ht="15" customHeight="1">
      <c r="A230" s="14"/>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3"/>
    </row>
    <row r="231" ht="15" customHeight="1">
      <c r="A231" s="14"/>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3"/>
    </row>
    <row r="232" ht="15" customHeight="1">
      <c r="A232" s="14"/>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3"/>
    </row>
    <row r="233" ht="15" customHeight="1">
      <c r="A233" s="14"/>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3"/>
    </row>
    <row r="234" ht="15" customHeight="1">
      <c r="A234" s="14"/>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3"/>
    </row>
    <row r="235" ht="15" customHeight="1">
      <c r="A235" s="14"/>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3"/>
    </row>
    <row r="236" ht="15" customHeight="1">
      <c r="A236" s="14"/>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3"/>
    </row>
    <row r="237" ht="15" customHeight="1">
      <c r="A237" s="14"/>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3"/>
    </row>
    <row r="238" ht="15" customHeight="1">
      <c r="A238" s="14"/>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3"/>
    </row>
    <row r="239" ht="15" customHeight="1">
      <c r="A239" s="14"/>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3"/>
    </row>
    <row r="240" ht="15" customHeight="1">
      <c r="A240" s="14"/>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3"/>
    </row>
    <row r="241" ht="15" customHeight="1">
      <c r="A241" s="14"/>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3"/>
    </row>
    <row r="242" ht="15" customHeight="1">
      <c r="A242" s="14"/>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3"/>
    </row>
    <row r="243" ht="15" customHeight="1">
      <c r="A243" s="14"/>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3"/>
    </row>
    <row r="244" ht="15" customHeight="1">
      <c r="A244" s="14"/>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3"/>
    </row>
    <row r="245" ht="15" customHeight="1">
      <c r="A245" s="14"/>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3"/>
    </row>
    <row r="246" ht="15" customHeight="1">
      <c r="A246" s="14"/>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3"/>
    </row>
    <row r="247" ht="15" customHeight="1">
      <c r="A247" s="14"/>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3"/>
    </row>
    <row r="248" ht="15" customHeight="1">
      <c r="A248" s="14"/>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3"/>
    </row>
    <row r="249" ht="15" customHeight="1">
      <c r="A249" s="14"/>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3"/>
    </row>
    <row r="250" ht="15" customHeight="1">
      <c r="A250" s="14"/>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3"/>
    </row>
    <row r="251" ht="15" customHeight="1">
      <c r="A251" s="14"/>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3"/>
    </row>
    <row r="252" ht="15" customHeight="1">
      <c r="A252" s="14"/>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3"/>
    </row>
    <row r="253" ht="15" customHeight="1">
      <c r="A253" s="14"/>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3"/>
    </row>
    <row r="254" ht="15" customHeight="1">
      <c r="A254" s="14"/>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3"/>
    </row>
    <row r="255" ht="15" customHeight="1">
      <c r="A255" s="14"/>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3"/>
    </row>
    <row r="256" ht="15" customHeight="1">
      <c r="A256" s="14"/>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3"/>
    </row>
    <row r="257" ht="15" customHeight="1">
      <c r="A257" s="14"/>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3"/>
    </row>
    <row r="258" ht="15" customHeight="1">
      <c r="A258" s="14"/>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3"/>
    </row>
    <row r="259" ht="15" customHeight="1">
      <c r="A259" s="14"/>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3"/>
    </row>
    <row r="260" ht="15" customHeight="1">
      <c r="A260" s="14"/>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3"/>
    </row>
    <row r="261" ht="15" customHeight="1">
      <c r="A261" s="14"/>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3"/>
    </row>
    <row r="262" ht="15" customHeight="1">
      <c r="A262" s="14"/>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3"/>
    </row>
    <row r="263" ht="15" customHeight="1">
      <c r="A263" s="14"/>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3"/>
    </row>
    <row r="264" ht="15" customHeight="1">
      <c r="A264" s="14"/>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3"/>
    </row>
    <row r="265" ht="15" customHeight="1">
      <c r="A265" s="14"/>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3"/>
    </row>
    <row r="266" ht="15" customHeight="1">
      <c r="A266" s="14"/>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3"/>
    </row>
    <row r="267" ht="15" customHeight="1">
      <c r="A267" s="14"/>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3"/>
    </row>
    <row r="268" ht="15" customHeight="1">
      <c r="A268" s="14"/>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3"/>
    </row>
    <row r="269" ht="15" customHeight="1">
      <c r="A269" s="14"/>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3"/>
    </row>
    <row r="270" ht="15" customHeight="1">
      <c r="A270" s="14"/>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3"/>
    </row>
    <row r="271" ht="15" customHeight="1">
      <c r="A271" s="14"/>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3"/>
    </row>
    <row r="272" ht="15" customHeight="1">
      <c r="A272" s="14"/>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3"/>
    </row>
    <row r="273" ht="15" customHeight="1">
      <c r="A273" s="14"/>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3"/>
    </row>
    <row r="274" ht="15" customHeight="1">
      <c r="A274" s="14"/>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3"/>
    </row>
    <row r="275" ht="15" customHeight="1">
      <c r="A275" s="14"/>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3"/>
    </row>
    <row r="276" ht="15" customHeight="1">
      <c r="A276" s="14"/>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3"/>
    </row>
    <row r="277" ht="15" customHeight="1">
      <c r="A277" s="14"/>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3"/>
    </row>
    <row r="278" ht="15" customHeight="1">
      <c r="A278" s="14"/>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3"/>
    </row>
    <row r="279" ht="15" customHeight="1">
      <c r="A279" s="14"/>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3"/>
    </row>
    <row r="280" ht="15" customHeight="1">
      <c r="A280" s="14"/>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3"/>
    </row>
    <row r="281" ht="15" customHeight="1">
      <c r="A281" s="14"/>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3"/>
    </row>
    <row r="282" ht="15" customHeight="1">
      <c r="A282" s="14"/>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3"/>
    </row>
    <row r="283" ht="15" customHeight="1">
      <c r="A283" s="14"/>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3"/>
    </row>
    <row r="284" ht="15" customHeight="1">
      <c r="A284" s="14"/>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3"/>
    </row>
    <row r="285" ht="15" customHeight="1">
      <c r="A285" s="14"/>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3"/>
    </row>
    <row r="286" ht="15" customHeight="1">
      <c r="A286" s="14"/>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3"/>
    </row>
    <row r="287" ht="15" customHeight="1">
      <c r="A287" s="14"/>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3"/>
    </row>
    <row r="288" ht="15" customHeight="1">
      <c r="A288" s="14"/>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3"/>
    </row>
    <row r="289" ht="15" customHeight="1">
      <c r="A289" s="14"/>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3"/>
    </row>
    <row r="290" ht="15" customHeight="1">
      <c r="A290" s="14"/>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3"/>
    </row>
    <row r="291" ht="15" customHeight="1">
      <c r="A291" s="14"/>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3"/>
    </row>
    <row r="292" ht="15" customHeight="1">
      <c r="A292" s="14"/>
      <c r="B292" s="22"/>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3"/>
    </row>
    <row r="293" ht="15" customHeight="1">
      <c r="A293" s="14"/>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3"/>
    </row>
    <row r="294" ht="15" customHeight="1">
      <c r="A294" s="14"/>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3"/>
    </row>
    <row r="295" ht="15" customHeight="1">
      <c r="A295" s="14"/>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3"/>
    </row>
    <row r="296" ht="15" customHeight="1">
      <c r="A296" s="28"/>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3"/>
    </row>
    <row r="297" ht="15" customHeight="1">
      <c r="A297" s="14"/>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3"/>
    </row>
    <row r="298" ht="15" customHeight="1">
      <c r="A298" s="14"/>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3"/>
    </row>
    <row r="299" ht="15" customHeight="1">
      <c r="A299" s="14"/>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3"/>
    </row>
    <row r="300" ht="15" customHeight="1">
      <c r="A300" s="14"/>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3"/>
    </row>
    <row r="301" ht="15" customHeight="1">
      <c r="A301" s="14"/>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3"/>
    </row>
    <row r="302" ht="15" customHeight="1">
      <c r="A302" s="14"/>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3"/>
    </row>
    <row r="303" ht="15" customHeight="1">
      <c r="A303" s="28"/>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3"/>
    </row>
    <row r="304" ht="15" customHeight="1">
      <c r="A304" s="14"/>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3"/>
    </row>
    <row r="305" ht="15" customHeight="1">
      <c r="A305" s="14"/>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3"/>
    </row>
    <row r="306" ht="15" customHeight="1">
      <c r="A306" s="14"/>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3"/>
    </row>
    <row r="307" ht="15" customHeight="1">
      <c r="A307" s="14"/>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3"/>
    </row>
    <row r="308" ht="15" customHeight="1">
      <c r="A308" s="14"/>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3"/>
    </row>
    <row r="309" ht="15" customHeight="1">
      <c r="A309" s="14"/>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3"/>
    </row>
    <row r="310" ht="15" customHeight="1">
      <c r="A310" s="14"/>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3"/>
    </row>
    <row r="311" ht="15" customHeight="1">
      <c r="A311" s="14"/>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3"/>
    </row>
    <row r="312" ht="15" customHeight="1">
      <c r="A312" s="14"/>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3"/>
    </row>
    <row r="313" ht="15" customHeight="1">
      <c r="A313" s="14"/>
      <c r="B313" s="22"/>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3"/>
    </row>
    <row r="314" ht="15" customHeight="1">
      <c r="A314" s="28"/>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3"/>
    </row>
    <row r="315" ht="15" customHeight="1">
      <c r="A315" s="28"/>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3"/>
    </row>
    <row r="316" ht="15" customHeight="1">
      <c r="A316" s="14"/>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3"/>
    </row>
    <row r="317" ht="15" customHeight="1">
      <c r="A317" s="14"/>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3"/>
    </row>
    <row r="318" ht="15" customHeight="1">
      <c r="A318" s="14"/>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3"/>
    </row>
    <row r="319" ht="15" customHeight="1">
      <c r="A319" s="14"/>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3"/>
    </row>
    <row r="320" ht="15" customHeight="1">
      <c r="A320" s="14"/>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3"/>
    </row>
    <row r="321" ht="15" customHeight="1">
      <c r="A321" s="14"/>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3"/>
    </row>
    <row r="322" ht="15" customHeight="1">
      <c r="A322" s="14"/>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3"/>
    </row>
    <row r="323" ht="15" customHeight="1">
      <c r="A323" s="14"/>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3"/>
    </row>
    <row r="324" ht="15" customHeight="1">
      <c r="A324" s="14"/>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3"/>
    </row>
    <row r="325" ht="15" customHeight="1">
      <c r="A325" s="14"/>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3"/>
    </row>
    <row r="326" ht="15" customHeight="1">
      <c r="A326" s="14"/>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3"/>
    </row>
    <row r="327" ht="15" customHeight="1">
      <c r="A327" s="14"/>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3"/>
    </row>
    <row r="328" ht="15" customHeight="1">
      <c r="A328" s="14"/>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3"/>
    </row>
    <row r="329" ht="15" customHeight="1">
      <c r="A329" s="14"/>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3"/>
    </row>
    <row r="330" ht="15" customHeight="1">
      <c r="A330" s="14"/>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3"/>
    </row>
    <row r="331" ht="15" customHeight="1">
      <c r="A331" s="14"/>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3"/>
    </row>
    <row r="332" ht="15" customHeight="1">
      <c r="A332" s="14"/>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3"/>
    </row>
    <row r="333" ht="15" customHeight="1">
      <c r="A333" s="14"/>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3"/>
    </row>
    <row r="334" ht="15" customHeight="1">
      <c r="A334" s="14"/>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3"/>
    </row>
    <row r="335" ht="15" customHeight="1">
      <c r="A335" s="14"/>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3"/>
    </row>
    <row r="336" ht="15" customHeight="1">
      <c r="A336" s="28"/>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3"/>
    </row>
    <row r="337" ht="15" customHeight="1">
      <c r="A337" s="14"/>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3"/>
    </row>
    <row r="338" ht="15" customHeight="1">
      <c r="A338" s="14"/>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3"/>
    </row>
    <row r="339" ht="15" customHeight="1">
      <c r="A339" s="14"/>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3"/>
    </row>
    <row r="340" ht="15" customHeight="1">
      <c r="A340" s="14"/>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3"/>
    </row>
    <row r="341" ht="15" customHeight="1">
      <c r="A341" s="14"/>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3"/>
    </row>
    <row r="342" ht="15" customHeight="1">
      <c r="A342" s="14"/>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3"/>
    </row>
    <row r="343" ht="15" customHeight="1">
      <c r="A343" s="14"/>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3"/>
    </row>
    <row r="344" ht="15" customHeight="1">
      <c r="A344" s="14"/>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3"/>
    </row>
    <row r="345" ht="15" customHeight="1">
      <c r="A345" s="14"/>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3"/>
    </row>
    <row r="346" ht="15" customHeight="1">
      <c r="A346" s="14"/>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3"/>
    </row>
    <row r="347" ht="15" customHeight="1">
      <c r="A347" s="14"/>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3"/>
    </row>
    <row r="348" ht="15" customHeight="1">
      <c r="A348" s="14"/>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3"/>
    </row>
    <row r="349" ht="15" customHeight="1">
      <c r="A349" s="14"/>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3"/>
    </row>
    <row r="350" ht="15" customHeight="1">
      <c r="A350" s="14"/>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3"/>
    </row>
    <row r="351" ht="15" customHeight="1">
      <c r="A351" s="14"/>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3"/>
    </row>
    <row r="352" ht="15" customHeight="1">
      <c r="A352" s="14"/>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3"/>
    </row>
    <row r="353" ht="15" customHeight="1">
      <c r="A353" s="14"/>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3"/>
    </row>
    <row r="354" ht="15" customHeight="1">
      <c r="A354" s="14"/>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3"/>
    </row>
    <row r="355" ht="15" customHeight="1">
      <c r="A355" s="14"/>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3"/>
    </row>
    <row r="356" ht="15" customHeight="1">
      <c r="A356" s="14"/>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3"/>
    </row>
    <row r="357" ht="15" customHeight="1">
      <c r="A357" s="14"/>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3"/>
    </row>
    <row r="358" ht="15" customHeight="1">
      <c r="A358" s="14"/>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3"/>
    </row>
    <row r="359" ht="15" customHeight="1">
      <c r="A359" s="14"/>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3"/>
    </row>
    <row r="360" ht="15" customHeight="1">
      <c r="A360" s="14"/>
      <c r="B360" s="11"/>
      <c r="C360" s="11"/>
      <c r="D360" s="11"/>
      <c r="E360" s="22"/>
      <c r="F360" s="22"/>
      <c r="G360" s="22"/>
      <c r="H360" s="22"/>
      <c r="I360" s="22"/>
      <c r="J360" s="22"/>
      <c r="K360" s="11"/>
      <c r="L360" s="11"/>
      <c r="M360" s="11"/>
      <c r="N360" s="11"/>
      <c r="O360" s="11"/>
      <c r="P360" s="11"/>
      <c r="Q360" s="11"/>
      <c r="R360" s="11"/>
      <c r="S360" s="11"/>
      <c r="T360" s="11"/>
      <c r="U360" s="11"/>
      <c r="V360" s="11"/>
      <c r="W360" s="11"/>
      <c r="X360" s="11"/>
      <c r="Y360" s="11"/>
      <c r="Z360" s="11"/>
      <c r="AA360" s="11"/>
      <c r="AB360" s="13"/>
    </row>
    <row r="361" ht="15" customHeight="1">
      <c r="A361" s="14"/>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3"/>
    </row>
    <row r="362" ht="15" customHeight="1">
      <c r="A362" s="14"/>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3"/>
    </row>
    <row r="363" ht="15" customHeight="1">
      <c r="A363" s="14"/>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3"/>
    </row>
    <row r="364" ht="15" customHeight="1">
      <c r="A364" s="14"/>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3"/>
    </row>
    <row r="365" ht="15" customHeight="1">
      <c r="A365" s="14"/>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3"/>
    </row>
    <row r="366" ht="15" customHeight="1">
      <c r="A366" s="14"/>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3"/>
    </row>
    <row r="367" ht="15" customHeight="1">
      <c r="A367" s="14"/>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3"/>
    </row>
    <row r="368" ht="15" customHeight="1">
      <c r="A368" s="14"/>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3"/>
    </row>
    <row r="369" ht="15" customHeight="1">
      <c r="A369" s="14"/>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3"/>
    </row>
    <row r="370" ht="15" customHeight="1">
      <c r="A370" s="14"/>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3"/>
    </row>
    <row r="371" ht="15" customHeight="1">
      <c r="A371" s="14"/>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3"/>
    </row>
    <row r="372" ht="15" customHeight="1">
      <c r="A372" s="14"/>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3"/>
    </row>
    <row r="373" ht="15" customHeight="1">
      <c r="A373" s="14"/>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3"/>
    </row>
    <row r="374" ht="15" customHeight="1">
      <c r="A374" s="14"/>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3"/>
    </row>
    <row r="375" ht="15" customHeight="1">
      <c r="A375" s="14"/>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3"/>
    </row>
    <row r="376" ht="15" customHeight="1">
      <c r="A376" s="14"/>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3"/>
    </row>
    <row r="377" ht="15" customHeight="1">
      <c r="A377" s="14"/>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3"/>
    </row>
    <row r="378" ht="15" customHeight="1">
      <c r="A378" s="14"/>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3"/>
    </row>
    <row r="379" ht="15" customHeight="1">
      <c r="A379" s="14"/>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3"/>
    </row>
    <row r="380" ht="15" customHeight="1">
      <c r="A380" s="14"/>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3"/>
    </row>
    <row r="381" ht="15" customHeight="1">
      <c r="A381" s="14"/>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3"/>
    </row>
    <row r="382" ht="15" customHeight="1">
      <c r="A382" s="14"/>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3"/>
    </row>
    <row r="383" ht="15" customHeight="1">
      <c r="A383" s="14"/>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3"/>
    </row>
    <row r="384" ht="15" customHeight="1">
      <c r="A384" s="14"/>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3"/>
    </row>
    <row r="385" ht="15" customHeight="1">
      <c r="A385" s="14"/>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3"/>
    </row>
    <row r="386" ht="15" customHeight="1">
      <c r="A386" s="14"/>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3"/>
    </row>
    <row r="387" ht="15" customHeight="1">
      <c r="A387" s="14"/>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3"/>
    </row>
    <row r="388" ht="15" customHeight="1">
      <c r="A388" s="14"/>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3"/>
    </row>
    <row r="389" ht="15" customHeight="1">
      <c r="A389" s="14"/>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3"/>
    </row>
    <row r="390" ht="15" customHeight="1">
      <c r="A390" s="14"/>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3"/>
    </row>
    <row r="391" ht="15" customHeight="1">
      <c r="A391" s="14"/>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3"/>
    </row>
    <row r="392" ht="15" customHeight="1">
      <c r="A392" s="14"/>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3"/>
    </row>
    <row r="393" ht="15" customHeight="1">
      <c r="A393" s="14"/>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3"/>
    </row>
    <row r="394" ht="15" customHeight="1">
      <c r="A394" s="14"/>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3"/>
    </row>
    <row r="395" ht="15" customHeight="1">
      <c r="A395" s="14"/>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3"/>
    </row>
    <row r="396" ht="15" customHeight="1">
      <c r="A396" s="14"/>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3"/>
    </row>
    <row r="397" ht="15" customHeight="1">
      <c r="A397" s="14"/>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3"/>
    </row>
    <row r="398" ht="15" customHeight="1">
      <c r="A398" s="14"/>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3"/>
    </row>
    <row r="399" ht="15" customHeight="1">
      <c r="A399" s="14"/>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3"/>
    </row>
    <row r="400" ht="15" customHeight="1">
      <c r="A400" s="14"/>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3"/>
    </row>
    <row r="401" ht="15" customHeight="1">
      <c r="A401" s="14"/>
      <c r="B401" s="22"/>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3"/>
    </row>
    <row r="402" ht="15" customHeight="1">
      <c r="A402" s="28"/>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3"/>
    </row>
    <row r="403" ht="15" customHeight="1">
      <c r="A403" s="14"/>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3"/>
    </row>
    <row r="404" ht="15" customHeight="1">
      <c r="A404" s="14"/>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3"/>
    </row>
    <row r="405" ht="15" customHeight="1">
      <c r="A405" s="14"/>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3"/>
    </row>
    <row r="406" ht="15" customHeight="1">
      <c r="A406" s="14"/>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3"/>
    </row>
    <row r="407" ht="15" customHeight="1">
      <c r="A407" s="14"/>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3"/>
    </row>
    <row r="408" ht="15" customHeight="1">
      <c r="A408" s="14"/>
      <c r="B408" s="22"/>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3"/>
    </row>
    <row r="409" ht="15" customHeight="1">
      <c r="A409" s="14"/>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3"/>
    </row>
    <row r="410" ht="15" customHeight="1">
      <c r="A410" s="14"/>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3"/>
    </row>
    <row r="411" ht="15" customHeight="1">
      <c r="A411" s="14"/>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3"/>
    </row>
    <row r="412" ht="15" customHeight="1">
      <c r="A412" s="14"/>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3"/>
    </row>
    <row r="413" ht="15" customHeight="1">
      <c r="A413" s="14"/>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3"/>
    </row>
    <row r="414" ht="15" customHeight="1">
      <c r="A414" s="14"/>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3"/>
    </row>
    <row r="415" ht="15" customHeight="1">
      <c r="A415" s="14"/>
      <c r="B415" s="22"/>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3"/>
    </row>
    <row r="416" ht="15" customHeight="1">
      <c r="A416" s="28"/>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3"/>
    </row>
    <row r="417" ht="15" customHeight="1">
      <c r="A417" s="14"/>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3"/>
    </row>
    <row r="418" ht="15" customHeight="1">
      <c r="A418" s="14"/>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3"/>
    </row>
    <row r="419" ht="15" customHeight="1">
      <c r="A419" s="14"/>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3"/>
    </row>
    <row r="420" ht="15" customHeight="1">
      <c r="A420" s="14"/>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3"/>
    </row>
    <row r="421" ht="15" customHeight="1">
      <c r="A421" s="14"/>
      <c r="B421" s="22"/>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3"/>
    </row>
    <row r="422" ht="15" customHeight="1">
      <c r="A422" s="28"/>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3"/>
    </row>
    <row r="423" ht="15" customHeight="1">
      <c r="A423" s="14"/>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3"/>
    </row>
    <row r="424" ht="15" customHeight="1">
      <c r="A424" s="14"/>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3"/>
    </row>
    <row r="425" ht="15" customHeight="1">
      <c r="A425" s="14"/>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3"/>
    </row>
    <row r="426" ht="15" customHeight="1">
      <c r="A426" s="29"/>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CJ126"/>
  <sheetViews>
    <sheetView workbookViewId="0" showGridLines="0" defaultGridColor="1"/>
  </sheetViews>
  <sheetFormatPr defaultColWidth="8.83333" defaultRowHeight="12" customHeight="1" outlineLevelRow="0" outlineLevelCol="0"/>
  <cols>
    <col min="1" max="4" width="8.85156" style="32" customWidth="1"/>
    <col min="5" max="5" width="11.8516" style="32" customWidth="1"/>
    <col min="6" max="88" width="8.85156" style="32" customWidth="1"/>
    <col min="89" max="16384" width="8.85156" style="32" customWidth="1"/>
  </cols>
  <sheetData>
    <row r="1" ht="15" customHeight="1">
      <c r="A1" t="s" s="33">
        <v>71</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row>
    <row r="2" ht="60" customHeight="1">
      <c r="A2" s="34"/>
      <c r="B2" t="s" s="35">
        <v>72</v>
      </c>
      <c r="C2" t="s" s="35">
        <v>73</v>
      </c>
      <c r="D2" t="s" s="35">
        <v>74</v>
      </c>
      <c r="E2" t="s" s="35">
        <v>75</v>
      </c>
      <c r="F2" t="s" s="35">
        <v>76</v>
      </c>
      <c r="G2" t="s" s="35">
        <v>77</v>
      </c>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row>
    <row r="3" ht="60" customHeight="1">
      <c r="A3" s="34"/>
      <c r="B3" t="s" s="35">
        <v>78</v>
      </c>
      <c r="C3" t="s" s="35">
        <v>79</v>
      </c>
      <c r="D3" t="s" s="35">
        <v>78</v>
      </c>
      <c r="E3" t="s" s="35">
        <v>80</v>
      </c>
      <c r="F3" t="s" s="35">
        <v>81</v>
      </c>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row>
    <row r="4" ht="60" customHeight="1">
      <c r="A4" s="34"/>
      <c r="B4" t="s" s="35">
        <v>82</v>
      </c>
      <c r="C4" t="s" s="35">
        <v>83</v>
      </c>
      <c r="D4" t="s" s="35">
        <v>84</v>
      </c>
      <c r="E4" t="s" s="35">
        <v>85</v>
      </c>
      <c r="F4" t="s" s="35">
        <v>86</v>
      </c>
      <c r="G4" t="s" s="35">
        <v>87</v>
      </c>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row>
    <row r="5" ht="15" customHeight="1">
      <c r="A5" s="36">
        <v>1889</v>
      </c>
      <c r="B5" s="37"/>
      <c r="C5" s="37"/>
      <c r="D5" s="38">
        <v>18004</v>
      </c>
      <c r="E5" s="38">
        <f>($E$45/$D$45)*D5</f>
        <v>168.742745528986</v>
      </c>
      <c r="F5" s="38">
        <v>61.775</v>
      </c>
      <c r="G5" s="38">
        <f>1000*E5/F5</f>
        <v>2731.570142112280</v>
      </c>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row>
    <row r="6" ht="15" customHeight="1">
      <c r="A6" s="36">
        <f>A5+1</f>
        <v>1890</v>
      </c>
      <c r="B6" s="37"/>
      <c r="C6" s="37"/>
      <c r="D6" s="38">
        <v>17995</v>
      </c>
      <c r="E6" s="38">
        <f>($E$45/$D$45)*D6</f>
        <v>168.658392901250</v>
      </c>
      <c r="F6" s="36">
        <v>63.056</v>
      </c>
      <c r="G6" s="38">
        <f>1000*E6/F6</f>
        <v>2674.739801148980</v>
      </c>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row>
    <row r="7" ht="15" customHeight="1">
      <c r="A7" s="36">
        <f>A6+1</f>
        <v>1891</v>
      </c>
      <c r="B7" s="37"/>
      <c r="C7" s="37"/>
      <c r="D7" s="38">
        <v>19247</v>
      </c>
      <c r="E7" s="38">
        <f>($E$45/$D$45)*D7</f>
        <v>180.392780670762</v>
      </c>
      <c r="F7" s="36">
        <v>64.361</v>
      </c>
      <c r="G7" s="38">
        <f>1000*E7/F7</f>
        <v>2802.827499118440</v>
      </c>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row>
    <row r="8" ht="15" customHeight="1">
      <c r="A8" s="36">
        <f>A7+1</f>
        <v>1892</v>
      </c>
      <c r="B8" s="37"/>
      <c r="C8" s="37"/>
      <c r="D8" s="38">
        <v>20157</v>
      </c>
      <c r="E8" s="38">
        <f>($E$45/$D$45)*D8</f>
        <v>188.921768586302</v>
      </c>
      <c r="F8" s="36">
        <v>65.666</v>
      </c>
      <c r="G8" s="38">
        <f>1000*E8/F8</f>
        <v>2877.010455735110</v>
      </c>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row>
    <row r="9" ht="15" customHeight="1">
      <c r="A9" s="36">
        <f>A8+1</f>
        <v>1893</v>
      </c>
      <c r="B9" s="37"/>
      <c r="C9" s="37"/>
      <c r="D9" s="38">
        <v>20256</v>
      </c>
      <c r="E9" s="38">
        <f>($E$45/$D$45)*D9</f>
        <v>189.849647491399</v>
      </c>
      <c r="F9" s="36">
        <v>66.97</v>
      </c>
      <c r="G9" s="38">
        <f>1000*E9/F9</f>
        <v>2834.846162332370</v>
      </c>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row>
    <row r="10" ht="15" customHeight="1">
      <c r="A10" s="36">
        <f>A9+1</f>
        <v>1894</v>
      </c>
      <c r="B10" s="37"/>
      <c r="C10" s="37"/>
      <c r="D10" s="38">
        <v>19659</v>
      </c>
      <c r="E10" s="38">
        <f>($E$45/$D$45)*D10</f>
        <v>184.254256518237</v>
      </c>
      <c r="F10" s="36">
        <v>68.27500000000001</v>
      </c>
      <c r="G10" s="38">
        <f>1000*E10/F10</f>
        <v>2698.707528644990</v>
      </c>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row>
    <row r="11" ht="15" customHeight="1">
      <c r="A11" s="36">
        <f>A10+1</f>
        <v>1895</v>
      </c>
      <c r="B11" s="37"/>
      <c r="C11" s="37"/>
      <c r="D11" s="38">
        <v>22119</v>
      </c>
      <c r="E11" s="38">
        <f>($E$45/$D$45)*D11</f>
        <v>207.310641432773</v>
      </c>
      <c r="F11" s="36">
        <v>69.58</v>
      </c>
      <c r="G11" s="38">
        <f>1000*E11/F11</f>
        <v>2979.457335912230</v>
      </c>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row>
    <row r="12" ht="15" customHeight="1">
      <c r="A12" s="36">
        <f>A11+1</f>
        <v>1896</v>
      </c>
      <c r="B12" s="37"/>
      <c r="C12" s="37"/>
      <c r="D12" s="38">
        <v>22056</v>
      </c>
      <c r="E12" s="38">
        <f>($E$45/$D$45)*D12</f>
        <v>206.720173038620</v>
      </c>
      <c r="F12" s="36">
        <v>70.88500000000001</v>
      </c>
      <c r="G12" s="38">
        <f>1000*E12/F12</f>
        <v>2916.275277401710</v>
      </c>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row>
    <row r="13" ht="15" customHeight="1">
      <c r="A13" s="36">
        <f>A12+1</f>
        <v>1897</v>
      </c>
      <c r="B13" s="37"/>
      <c r="C13" s="37"/>
      <c r="D13" s="38">
        <v>23794</v>
      </c>
      <c r="E13" s="38">
        <f>($E$45/$D$45)*D13</f>
        <v>223.009602705882</v>
      </c>
      <c r="F13" s="36">
        <v>72.18899999999999</v>
      </c>
      <c r="G13" s="38">
        <f>1000*E13/F13</f>
        <v>3089.2463215432</v>
      </c>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row>
    <row r="14" ht="15" customHeight="1">
      <c r="A14" s="36">
        <f>A13+1</f>
        <v>1898</v>
      </c>
      <c r="B14" s="37"/>
      <c r="C14" s="37"/>
      <c r="D14" s="38">
        <v>24193</v>
      </c>
      <c r="E14" s="38">
        <f>($E$45/$D$45)*D14</f>
        <v>226.749235868849</v>
      </c>
      <c r="F14" s="36">
        <v>73.494</v>
      </c>
      <c r="G14" s="38">
        <f>1000*E14/F14</f>
        <v>3085.275476485820</v>
      </c>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row>
    <row r="15" ht="15" customHeight="1">
      <c r="A15" s="36">
        <f>A14+1</f>
        <v>1899</v>
      </c>
      <c r="B15" s="37"/>
      <c r="C15" s="37"/>
      <c r="D15" s="38">
        <v>27053</v>
      </c>
      <c r="E15" s="38">
        <f>($E$45/$D$45)*D15</f>
        <v>253.554626460546</v>
      </c>
      <c r="F15" s="36">
        <v>74.79900000000001</v>
      </c>
      <c r="G15" s="38">
        <f>1000*E15/F15</f>
        <v>3389.813051786070</v>
      </c>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row>
    <row r="16" ht="15" customHeight="1">
      <c r="A16" s="36">
        <f>A15+1</f>
        <v>1900</v>
      </c>
      <c r="B16" s="37"/>
      <c r="C16" s="37"/>
      <c r="D16" s="38">
        <v>27296</v>
      </c>
      <c r="E16" s="38">
        <f>($E$45/$D$45)*D16</f>
        <v>255.832147409421</v>
      </c>
      <c r="F16" s="36">
        <v>76.09399999999999</v>
      </c>
      <c r="G16" s="38">
        <f>1000*E16/F16</f>
        <v>3362.0541357981</v>
      </c>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row>
    <row r="17" ht="15" customHeight="1">
      <c r="A17" s="36">
        <f>A16+1</f>
        <v>1901</v>
      </c>
      <c r="B17" s="37"/>
      <c r="C17" s="37"/>
      <c r="D17" s="38">
        <v>30651</v>
      </c>
      <c r="E17" s="38">
        <f>($E$45/$D$45)*D17</f>
        <v>287.276932526603</v>
      </c>
      <c r="F17" s="36">
        <v>77.584</v>
      </c>
      <c r="G17" s="38">
        <f>1000*E17/F17</f>
        <v>3702.785787360830</v>
      </c>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row>
    <row r="18" ht="15" customHeight="1">
      <c r="A18" s="36">
        <f>A17+1</f>
        <v>1902</v>
      </c>
      <c r="B18" s="37"/>
      <c r="C18" s="37"/>
      <c r="D18" s="38">
        <v>30911</v>
      </c>
      <c r="E18" s="38">
        <f>($E$45/$D$45)*D18</f>
        <v>289.713786216757</v>
      </c>
      <c r="F18" s="36">
        <v>79.163</v>
      </c>
      <c r="G18" s="38">
        <f>1000*E18/F18</f>
        <v>3659.712065191530</v>
      </c>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row>
    <row r="19" ht="15" customHeight="1">
      <c r="A19" s="36">
        <f>A18+1</f>
        <v>1903</v>
      </c>
      <c r="B19" s="37"/>
      <c r="C19" s="37"/>
      <c r="D19" s="38">
        <v>32761</v>
      </c>
      <c r="E19" s="38">
        <f>($E$45/$D$45)*D19</f>
        <v>307.052937473624</v>
      </c>
      <c r="F19" s="36">
        <v>80.63200000000001</v>
      </c>
      <c r="G19" s="38">
        <f>1000*E19/F19</f>
        <v>3808.077902986710</v>
      </c>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row>
    <row r="20" ht="15" customHeight="1">
      <c r="A20" s="36">
        <f>A19+1</f>
        <v>1904</v>
      </c>
      <c r="B20" s="37"/>
      <c r="C20" s="37"/>
      <c r="D20" s="38">
        <v>33188</v>
      </c>
      <c r="E20" s="38">
        <f>($E$45/$D$45)*D20</f>
        <v>311.055001033992</v>
      </c>
      <c r="F20" s="36">
        <v>82.166</v>
      </c>
      <c r="G20" s="38">
        <f>1000*E20/F20</f>
        <v>3785.689957330190</v>
      </c>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row>
    <row r="21" ht="15" customHeight="1">
      <c r="A21" s="36">
        <f>A20+1</f>
        <v>1905</v>
      </c>
      <c r="B21" s="37"/>
      <c r="C21" s="37"/>
      <c r="D21" s="38">
        <v>35090</v>
      </c>
      <c r="E21" s="38">
        <f>($E$45/$D$45)*D21</f>
        <v>328.881523028890</v>
      </c>
      <c r="F21" s="36">
        <v>83.822</v>
      </c>
      <c r="G21" s="38">
        <f>1000*E21/F21</f>
        <v>3923.570459174080</v>
      </c>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row>
    <row r="22" ht="15" customHeight="1">
      <c r="A22" s="36">
        <f>A21+1</f>
        <v>1906</v>
      </c>
      <c r="B22" s="37"/>
      <c r="C22" s="37"/>
      <c r="D22" s="38">
        <v>38965</v>
      </c>
      <c r="E22" s="38">
        <f>($E$45/$D$45)*D22</f>
        <v>365.200015526380</v>
      </c>
      <c r="F22" s="36">
        <v>85.45</v>
      </c>
      <c r="G22" s="38">
        <f>1000*E22/F22</f>
        <v>4273.8445351244</v>
      </c>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row>
    <row r="23" ht="15" customHeight="1">
      <c r="A23" s="36">
        <f>A22+1</f>
        <v>1907</v>
      </c>
      <c r="B23" s="37"/>
      <c r="C23" s="37"/>
      <c r="D23" s="38">
        <v>39702</v>
      </c>
      <c r="E23" s="38">
        <f>($E$45/$D$45)*D23</f>
        <v>372.107558486548</v>
      </c>
      <c r="F23" s="36">
        <v>87.008</v>
      </c>
      <c r="G23" s="38">
        <f>1000*E23/F23</f>
        <v>4276.705113168310</v>
      </c>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row>
    <row r="24" ht="15" customHeight="1">
      <c r="A24" s="36">
        <f>A23+1</f>
        <v>1908</v>
      </c>
      <c r="B24" s="37"/>
      <c r="C24" s="37"/>
      <c r="D24" s="38">
        <v>37197</v>
      </c>
      <c r="E24" s="38">
        <f>($E$45/$D$45)*D24</f>
        <v>348.629410433332</v>
      </c>
      <c r="F24" s="36">
        <v>88.70999999999999</v>
      </c>
      <c r="G24" s="38">
        <f>1000*E24/F24</f>
        <v>3929.989972194030</v>
      </c>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row>
    <row r="25" ht="15" customHeight="1">
      <c r="A25" s="36">
        <f>A24+1</f>
        <v>1909</v>
      </c>
      <c r="B25" s="37"/>
      <c r="C25" s="37"/>
      <c r="D25" s="38">
        <v>41269</v>
      </c>
      <c r="E25" s="38">
        <f>($E$45/$D$45)*D25</f>
        <v>386.794288226824</v>
      </c>
      <c r="F25" s="36">
        <v>90.48999999999999</v>
      </c>
      <c r="G25" s="38">
        <f>1000*E25/F25</f>
        <v>4274.442349727310</v>
      </c>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row>
    <row r="26" ht="15" customHeight="1">
      <c r="A26" s="36">
        <f>A25+1</f>
        <v>1910</v>
      </c>
      <c r="B26" s="37"/>
      <c r="C26" s="37"/>
      <c r="D26" s="38">
        <v>42034</v>
      </c>
      <c r="E26" s="38">
        <f>($E$45/$D$45)*D26</f>
        <v>393.964261584393</v>
      </c>
      <c r="F26" s="36">
        <v>92.407</v>
      </c>
      <c r="G26" s="38">
        <f>1000*E26/F26</f>
        <v>4263.359502899060</v>
      </c>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row>
    <row r="27" ht="15" customHeight="1">
      <c r="A27" s="36">
        <f>A26+1</f>
        <v>1911</v>
      </c>
      <c r="B27" s="37"/>
      <c r="C27" s="37"/>
      <c r="D27" s="38">
        <v>44064</v>
      </c>
      <c r="E27" s="38">
        <f>($E$45/$D$45)*D27</f>
        <v>412.990465395981</v>
      </c>
      <c r="F27" s="36">
        <v>93.863</v>
      </c>
      <c r="G27" s="38">
        <f>1000*E27/F27</f>
        <v>4399.928250705610</v>
      </c>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row>
    <row r="28" ht="15" customHeight="1">
      <c r="A28" s="36">
        <f>A27+1</f>
        <v>1912</v>
      </c>
      <c r="B28" s="37"/>
      <c r="C28" s="37"/>
      <c r="D28" s="38">
        <v>45211</v>
      </c>
      <c r="E28" s="38">
        <f>($E$45/$D$45)*D28</f>
        <v>423.740739175239</v>
      </c>
      <c r="F28" s="36">
        <v>95.33499999999999</v>
      </c>
      <c r="G28" s="38">
        <f>1000*E28/F28</f>
        <v>4444.755222900710</v>
      </c>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row>
    <row r="29" ht="15" customHeight="1">
      <c r="A29" s="36">
        <f>A28+1</f>
        <v>1913</v>
      </c>
      <c r="B29" s="37"/>
      <c r="C29" s="37"/>
      <c r="D29" s="38">
        <v>46701</v>
      </c>
      <c r="E29" s="38">
        <f>($E$45/$D$45)*D29</f>
        <v>437.705785322661</v>
      </c>
      <c r="F29" s="36">
        <v>97.22499999999999</v>
      </c>
      <c r="G29" s="38">
        <f>1000*E29/F29</f>
        <v>4501.988020803920</v>
      </c>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row>
    <row r="30" ht="15" customHeight="1">
      <c r="A30" s="36">
        <f>A29+1</f>
        <v>1914</v>
      </c>
      <c r="B30" s="37"/>
      <c r="C30" s="37"/>
      <c r="D30" s="38">
        <v>46124</v>
      </c>
      <c r="E30" s="38">
        <f>($E$45/$D$45)*D30</f>
        <v>432.297844633357</v>
      </c>
      <c r="F30" s="36">
        <v>99.111</v>
      </c>
      <c r="G30" s="38">
        <f>1000*E30/F30</f>
        <v>4361.754443334820</v>
      </c>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row>
    <row r="31" ht="15" customHeight="1">
      <c r="A31" s="36">
        <f>A30+1</f>
        <v>1915</v>
      </c>
      <c r="B31" s="37"/>
      <c r="C31" s="37"/>
      <c r="D31" s="38">
        <v>45322</v>
      </c>
      <c r="E31" s="38">
        <f>($E$45/$D$45)*D31</f>
        <v>424.781088250651</v>
      </c>
      <c r="F31" s="36">
        <v>100.546</v>
      </c>
      <c r="G31" s="38">
        <f>1000*E31/F31</f>
        <v>4224.743781459740</v>
      </c>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row>
    <row r="32" ht="15" customHeight="1">
      <c r="A32" s="36">
        <f>A31+1</f>
        <v>1916</v>
      </c>
      <c r="B32" s="37"/>
      <c r="C32" s="37"/>
      <c r="D32" s="38">
        <v>49408</v>
      </c>
      <c r="E32" s="38">
        <f>($E$45/$D$45)*D32</f>
        <v>463.077181242843</v>
      </c>
      <c r="F32" s="36">
        <v>101.961</v>
      </c>
      <c r="G32" s="38">
        <f>1000*E32/F32</f>
        <v>4541.708900882130</v>
      </c>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row>
    <row r="33" ht="15" customHeight="1">
      <c r="A33" s="36">
        <f>A32+1</f>
        <v>1917</v>
      </c>
      <c r="B33" s="37"/>
      <c r="C33" s="37"/>
      <c r="D33" s="38">
        <v>48342</v>
      </c>
      <c r="E33" s="38">
        <f>($E$45/$D$45)*D33</f>
        <v>453.086081113211</v>
      </c>
      <c r="F33" s="36">
        <v>103.268</v>
      </c>
      <c r="G33" s="38">
        <f>1000*E33/F33</f>
        <v>4387.478029139820</v>
      </c>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row>
    <row r="34" ht="15" customHeight="1">
      <c r="A34" s="36">
        <f>A33+1</f>
        <v>1918</v>
      </c>
      <c r="B34" s="37"/>
      <c r="C34" s="37"/>
      <c r="D34" s="38">
        <v>48121</v>
      </c>
      <c r="E34" s="38">
        <f>($E$45/$D$45)*D34</f>
        <v>451.014755476580</v>
      </c>
      <c r="F34" s="36">
        <v>103.208</v>
      </c>
      <c r="G34" s="38">
        <f>1000*E34/F34</f>
        <v>4369.959261652</v>
      </c>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row>
    <row r="35" ht="15" customHeight="1">
      <c r="A35" s="36">
        <f>A34+1</f>
        <v>1919</v>
      </c>
      <c r="B35" s="37"/>
      <c r="C35" s="37"/>
      <c r="D35" s="38">
        <v>50245</v>
      </c>
      <c r="E35" s="38">
        <f>($E$45/$D$45)*D35</f>
        <v>470.921975622301</v>
      </c>
      <c r="F35" s="36">
        <v>104.514</v>
      </c>
      <c r="G35" s="38">
        <f>1000*E35/F35</f>
        <v>4505.826737301230</v>
      </c>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row>
    <row r="36" ht="15" customHeight="1">
      <c r="A36" s="36">
        <f>A35+1</f>
        <v>1920</v>
      </c>
      <c r="B36" s="37"/>
      <c r="C36" s="37"/>
      <c r="D36" s="38">
        <v>52713</v>
      </c>
      <c r="E36" s="38">
        <f>($E$45/$D$45)*D36</f>
        <v>494.053340650381</v>
      </c>
      <c r="F36" s="36">
        <v>106.541</v>
      </c>
      <c r="G36" s="38">
        <f>1000*E36/F36</f>
        <v>4637.2132854993</v>
      </c>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row>
    <row r="37" ht="15" customHeight="1">
      <c r="A37" s="36">
        <f>A36+1</f>
        <v>1921</v>
      </c>
      <c r="B37" s="37"/>
      <c r="C37" s="37"/>
      <c r="D37" s="38">
        <v>56082</v>
      </c>
      <c r="E37" s="38">
        <f>($E$45/$D$45)*D37</f>
        <v>525.629340966263</v>
      </c>
      <c r="F37" s="36">
        <v>108.538</v>
      </c>
      <c r="G37" s="38">
        <f>1000*E37/F37</f>
        <v>4842.813954248860</v>
      </c>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row>
    <row r="38" ht="15" customHeight="1">
      <c r="A38" s="36">
        <f>A37+1</f>
        <v>1922</v>
      </c>
      <c r="B38" s="37"/>
      <c r="C38" s="37"/>
      <c r="D38" s="38">
        <v>58149</v>
      </c>
      <c r="E38" s="38">
        <f>($E$45/$D$45)*D38</f>
        <v>545.002327802989</v>
      </c>
      <c r="F38" s="36">
        <v>110.049</v>
      </c>
      <c r="G38" s="38">
        <f>1000*E38/F38</f>
        <v>4952.360564866460</v>
      </c>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row>
    <row r="39" ht="15" customHeight="1">
      <c r="A39" s="36">
        <f>A38+1</f>
        <v>1923</v>
      </c>
      <c r="B39" s="37"/>
      <c r="C39" s="37"/>
      <c r="D39" s="38">
        <v>63427</v>
      </c>
      <c r="E39" s="38">
        <f>($E$45/$D$45)*D39</f>
        <v>594.470457713120</v>
      </c>
      <c r="F39" s="36">
        <v>111.947</v>
      </c>
      <c r="G39" s="38">
        <f>1000*E39/F39</f>
        <v>5310.284846517730</v>
      </c>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row>
    <row r="40" ht="15" customHeight="1">
      <c r="A40" s="36">
        <f>A39+1</f>
        <v>1924</v>
      </c>
      <c r="B40" s="37"/>
      <c r="C40" s="37"/>
      <c r="D40" s="38">
        <v>68127</v>
      </c>
      <c r="E40" s="38">
        <f>($E$45/$D$45)*D40</f>
        <v>638.521274419754</v>
      </c>
      <c r="F40" s="36">
        <v>114.109</v>
      </c>
      <c r="G40" s="38">
        <f>1000*E40/F40</f>
        <v>5595.713523208110</v>
      </c>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row>
    <row r="41" ht="15" customHeight="1">
      <c r="A41" s="36">
        <f>A40+1</f>
        <v>1925</v>
      </c>
      <c r="B41" s="37"/>
      <c r="C41" s="37"/>
      <c r="D41" s="38">
        <v>66137</v>
      </c>
      <c r="E41" s="38">
        <f>($E$45/$D$45)*D41</f>
        <v>619.869971175881</v>
      </c>
      <c r="F41" s="36">
        <v>115.829</v>
      </c>
      <c r="G41" s="38">
        <f>1000*E41/F41</f>
        <v>5351.595638189750</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row>
    <row r="42" ht="15" customHeight="1">
      <c r="A42" s="36">
        <f>A41+1</f>
        <v>1926</v>
      </c>
      <c r="B42" s="37"/>
      <c r="C42" s="37"/>
      <c r="D42" s="38">
        <v>71548</v>
      </c>
      <c r="E42" s="38">
        <f>($E$45/$D$45)*D42</f>
        <v>670.584645473667</v>
      </c>
      <c r="F42" s="36">
        <v>117.397</v>
      </c>
      <c r="G42" s="38">
        <f>1000*E42/F42</f>
        <v>5712.110577558770</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row>
    <row r="43" ht="15" customHeight="1">
      <c r="A43" s="36">
        <f>A42+1</f>
        <v>1927</v>
      </c>
      <c r="B43" s="37"/>
      <c r="C43" s="37"/>
      <c r="D43" s="38">
        <v>73157</v>
      </c>
      <c r="E43" s="38">
        <f>($E$45/$D$45)*D43</f>
        <v>685.665020810045</v>
      </c>
      <c r="F43" s="36">
        <v>119.035</v>
      </c>
      <c r="G43" s="38">
        <f>1000*E43/F43</f>
        <v>5760.196755660480</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row>
    <row r="44" ht="15" customHeight="1">
      <c r="A44" s="36">
        <f>A43+1</f>
        <v>1928</v>
      </c>
      <c r="B44" s="37"/>
      <c r="C44" s="37"/>
      <c r="D44" s="38">
        <v>74813</v>
      </c>
      <c r="E44" s="38">
        <f>($E$45/$D$45)*D44</f>
        <v>701.185904313489</v>
      </c>
      <c r="F44" s="36">
        <v>120.509</v>
      </c>
      <c r="G44" s="38">
        <f>1000*E44/F44</f>
        <v>5818.535580856940</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row>
    <row r="45" ht="15" customHeight="1">
      <c r="A45" s="36">
        <v>1929</v>
      </c>
      <c r="B45" s="37"/>
      <c r="C45" s="36">
        <v>9.814</v>
      </c>
      <c r="D45" s="38">
        <v>78952</v>
      </c>
      <c r="E45" s="38">
        <f>($B$111/$C$111)*C45</f>
        <v>739.978740557905</v>
      </c>
      <c r="F45" s="36">
        <v>121.878</v>
      </c>
      <c r="G45" s="38">
        <f>1000*E45/F45</f>
        <v>6071.470983753470</v>
      </c>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row>
    <row r="46" ht="15" customHeight="1">
      <c r="A46" s="36">
        <f>A45+1</f>
        <v>1930</v>
      </c>
      <c r="B46" s="37"/>
      <c r="C46" s="36">
        <v>9.289999999999999</v>
      </c>
      <c r="D46" s="37"/>
      <c r="E46" s="38">
        <f>($B$111/$C$111)*C46</f>
        <v>700.468972873746</v>
      </c>
      <c r="F46" s="36">
        <v>123.188</v>
      </c>
      <c r="G46" s="38">
        <f>1000*E46/F46</f>
        <v>5686.178628387070</v>
      </c>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row>
    <row r="47" ht="15" customHeight="1">
      <c r="A47" s="36">
        <f>A46+1</f>
        <v>1931</v>
      </c>
      <c r="B47" s="37"/>
      <c r="C47" s="36">
        <v>9.005000000000001</v>
      </c>
      <c r="D47" s="37"/>
      <c r="E47" s="38">
        <f>($B$111/$C$111)*C47</f>
        <v>678.979881671483</v>
      </c>
      <c r="F47" s="36">
        <v>124.149</v>
      </c>
      <c r="G47" s="38">
        <f>1000*E47/F47</f>
        <v>5469.072498944680</v>
      </c>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row>
    <row r="48" ht="15" customHeight="1">
      <c r="A48" s="36">
        <f>A47+1</f>
        <v>1932</v>
      </c>
      <c r="B48" s="37"/>
      <c r="C48" s="36">
        <v>8.206</v>
      </c>
      <c r="D48" s="37"/>
      <c r="E48" s="38">
        <f>($B$111/$C$111)*C48</f>
        <v>618.735025985141</v>
      </c>
      <c r="F48" s="36">
        <v>124.949</v>
      </c>
      <c r="G48" s="38">
        <f>1000*E48/F48</f>
        <v>4951.900583319120</v>
      </c>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row>
    <row r="49" ht="15" customHeight="1">
      <c r="A49" s="36">
        <f>A48+1</f>
        <v>1933</v>
      </c>
      <c r="B49" s="37"/>
      <c r="C49" s="36">
        <v>8.028</v>
      </c>
      <c r="D49" s="37"/>
      <c r="E49" s="38">
        <f>($B$111/$C$111)*C49</f>
        <v>605.313769023728</v>
      </c>
      <c r="F49" s="36">
        <v>125.69</v>
      </c>
      <c r="G49" s="38">
        <f>1000*E49/F49</f>
        <v>4815.926239348620</v>
      </c>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row>
    <row r="50" ht="15" customHeight="1">
      <c r="A50" s="36">
        <f>A49+1</f>
        <v>1934</v>
      </c>
      <c r="B50" s="37"/>
      <c r="C50" s="36">
        <v>8.595000000000001</v>
      </c>
      <c r="D50" s="37"/>
      <c r="E50" s="38">
        <f>($B$111/$C$111)*C50</f>
        <v>648.065750468229</v>
      </c>
      <c r="F50" s="36">
        <v>126.485</v>
      </c>
      <c r="G50" s="38">
        <f>1000*E50/F50</f>
        <v>5123.656959072060</v>
      </c>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row>
    <row r="51" ht="15" customHeight="1">
      <c r="A51" s="36">
        <f>A50+1</f>
        <v>1935</v>
      </c>
      <c r="B51" s="37"/>
      <c r="C51" s="36">
        <v>9.122999999999999</v>
      </c>
      <c r="D51" s="37"/>
      <c r="E51" s="38">
        <f>($B$111/$C$111)*C51</f>
        <v>687.877119432420</v>
      </c>
      <c r="F51" s="36">
        <v>127.362</v>
      </c>
      <c r="G51" s="38">
        <f>1000*E51/F51</f>
        <v>5400.9604075974</v>
      </c>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row>
    <row r="52" ht="15" customHeight="1">
      <c r="A52" s="36">
        <f>A51+1</f>
        <v>1936</v>
      </c>
      <c r="B52" s="37"/>
      <c r="C52" s="36">
        <v>10.046</v>
      </c>
      <c r="D52" s="37"/>
      <c r="E52" s="38">
        <f>($B$111/$C$111)*C52</f>
        <v>757.471614799747</v>
      </c>
      <c r="F52" s="36">
        <v>128.181</v>
      </c>
      <c r="G52" s="38">
        <f>1000*E52/F52</f>
        <v>5909.390742775820</v>
      </c>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row>
    <row r="53" ht="15" customHeight="1">
      <c r="A53" s="36">
        <f>A52+1</f>
        <v>1937</v>
      </c>
      <c r="B53" s="37"/>
      <c r="C53" s="36">
        <v>10.417</v>
      </c>
      <c r="D53" s="37"/>
      <c r="E53" s="38">
        <f>($B$111/$C$111)*C53</f>
        <v>785.445133522692</v>
      </c>
      <c r="F53" s="36">
        <v>128.961</v>
      </c>
      <c r="G53" s="38">
        <f>1000*E53/F53</f>
        <v>6090.563298382390</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row>
    <row r="54" ht="15" customHeight="1">
      <c r="A54" s="36">
        <f>A53+1</f>
        <v>1938</v>
      </c>
      <c r="B54" s="37"/>
      <c r="C54" s="36">
        <v>10.249</v>
      </c>
      <c r="D54" s="37"/>
      <c r="E54" s="38">
        <f>($B$111/$C$111)*C54</f>
        <v>772.777879761358</v>
      </c>
      <c r="F54" s="36">
        <v>129.969</v>
      </c>
      <c r="G54" s="38">
        <f>1000*E54/F54</f>
        <v>5945.863088593110</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row>
    <row r="55" ht="15" customHeight="1">
      <c r="A55" s="36">
        <f>A54+1</f>
        <v>1939</v>
      </c>
      <c r="B55" s="37"/>
      <c r="C55" s="36">
        <v>10.819</v>
      </c>
      <c r="D55" s="37"/>
      <c r="E55" s="38">
        <f>($B$111/$C$111)*C55</f>
        <v>815.756062165883</v>
      </c>
      <c r="F55" s="36">
        <v>131.028</v>
      </c>
      <c r="G55" s="38">
        <f>1000*E55/F55</f>
        <v>6225.814804208890</v>
      </c>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row>
    <row r="56" ht="15" customHeight="1">
      <c r="A56" s="36">
        <f>A55+1</f>
        <v>1940</v>
      </c>
      <c r="B56" s="37"/>
      <c r="C56" s="36">
        <v>11.382</v>
      </c>
      <c r="D56" s="37"/>
      <c r="E56" s="38">
        <f>($B$111/$C$111)*C56</f>
        <v>858.206442330352</v>
      </c>
      <c r="F56" s="36">
        <v>132.122</v>
      </c>
      <c r="G56" s="38">
        <f>1000*E56/F56</f>
        <v>6495.560484479130</v>
      </c>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row>
    <row r="57" ht="15" customHeight="1">
      <c r="A57" s="36">
        <f>A56+1</f>
        <v>1941</v>
      </c>
      <c r="B57" s="37"/>
      <c r="C57" s="36">
        <v>12.195</v>
      </c>
      <c r="D57" s="37"/>
      <c r="E57" s="38">
        <f>($B$111/$C$111)*C57</f>
        <v>919.506902496806</v>
      </c>
      <c r="F57" s="36">
        <v>133.402</v>
      </c>
      <c r="G57" s="38">
        <f>1000*E57/F57</f>
        <v>6892.7520014453</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row>
    <row r="58" ht="15" customHeight="1">
      <c r="A58" s="36">
        <f>A57+1</f>
        <v>1942</v>
      </c>
      <c r="B58" s="37"/>
      <c r="C58" s="36">
        <v>11.917</v>
      </c>
      <c r="D58" s="37"/>
      <c r="E58" s="38">
        <f>($B$111/$C$111)*C58</f>
        <v>898.5456135345991</v>
      </c>
      <c r="F58" s="36">
        <v>134.86</v>
      </c>
      <c r="G58" s="38">
        <f>1000*E58/F58</f>
        <v>6662.803007078440</v>
      </c>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row>
    <row r="59" ht="15" customHeight="1">
      <c r="A59" s="36">
        <f>A58+1</f>
        <v>1943</v>
      </c>
      <c r="B59" s="37"/>
      <c r="C59" s="36">
        <v>12.258</v>
      </c>
      <c r="D59" s="37"/>
      <c r="E59" s="38">
        <f>($B$111/$C$111)*C59</f>
        <v>924.257122657306</v>
      </c>
      <c r="F59" s="36">
        <v>136.739</v>
      </c>
      <c r="G59" s="38">
        <f>1000*E59/F59</f>
        <v>6759.2795227207</v>
      </c>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row>
    <row r="60" ht="15" customHeight="1">
      <c r="A60" s="36">
        <f>A59+1</f>
        <v>1944</v>
      </c>
      <c r="B60" s="37"/>
      <c r="C60" s="36">
        <v>12.615</v>
      </c>
      <c r="D60" s="37"/>
      <c r="E60" s="38">
        <f>($B$111/$C$111)*C60</f>
        <v>951.175036900140</v>
      </c>
      <c r="F60" s="36">
        <v>138.397</v>
      </c>
      <c r="G60" s="38">
        <f>1000*E60/F60</f>
        <v>6872.800977623360</v>
      </c>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c r="BH60" s="34"/>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row>
    <row r="61" ht="15" customHeight="1">
      <c r="A61" s="36">
        <f>A60+1</f>
        <v>1945</v>
      </c>
      <c r="B61" s="37"/>
      <c r="C61" s="36">
        <v>13.395</v>
      </c>
      <c r="D61" s="37"/>
      <c r="E61" s="38">
        <f>($B$111/$C$111)*C61</f>
        <v>1009.987286506330</v>
      </c>
      <c r="F61" s="36">
        <v>139.928</v>
      </c>
      <c r="G61" s="38">
        <f>1000*E61/F61</f>
        <v>7217.906970058390</v>
      </c>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row>
    <row r="62" ht="15" customHeight="1">
      <c r="A62" s="36">
        <f>A61+1</f>
        <v>1946</v>
      </c>
      <c r="B62" s="37"/>
      <c r="C62" s="36">
        <v>15.03</v>
      </c>
      <c r="D62" s="37"/>
      <c r="E62" s="38">
        <f>($B$111/$C$111)*C62</f>
        <v>1133.266809719310</v>
      </c>
      <c r="F62" s="36">
        <v>141.389</v>
      </c>
      <c r="G62" s="38">
        <f>1000*E62/F62</f>
        <v>8015.240292521410</v>
      </c>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row>
    <row r="63" ht="15" customHeight="1">
      <c r="A63" s="36">
        <f>A62+1</f>
        <v>1947</v>
      </c>
      <c r="B63" s="37"/>
      <c r="C63" s="36">
        <v>15.307</v>
      </c>
      <c r="D63" s="37"/>
      <c r="E63" s="38">
        <f>($B$111/$C$111)*C63</f>
        <v>1154.152698361510</v>
      </c>
      <c r="F63" s="36">
        <v>144.126</v>
      </c>
      <c r="G63" s="38">
        <f>1000*E63/F63</f>
        <v>8007.942344625610</v>
      </c>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row>
    <row r="64" ht="15" customHeight="1">
      <c r="A64" s="36">
        <f>A63+1</f>
        <v>1948</v>
      </c>
      <c r="B64" s="37"/>
      <c r="C64" s="36">
        <v>15.646</v>
      </c>
      <c r="D64" s="37"/>
      <c r="E64" s="38">
        <f>($B$111/$C$111)*C64</f>
        <v>1179.7134068442</v>
      </c>
      <c r="F64" s="36">
        <v>146.631</v>
      </c>
      <c r="G64" s="38">
        <f>1000*E64/F64</f>
        <v>8045.457010074270</v>
      </c>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row>
    <row r="65" ht="15" customHeight="1">
      <c r="A65" s="36">
        <f>A64+1</f>
        <v>1949</v>
      </c>
      <c r="B65" s="37"/>
      <c r="C65" s="36">
        <v>16.077</v>
      </c>
      <c r="D65" s="37"/>
      <c r="E65" s="38">
        <f>($B$111/$C$111)*C65</f>
        <v>1212.210944767620</v>
      </c>
      <c r="F65" s="36">
        <v>149.188</v>
      </c>
      <c r="G65" s="38">
        <f>1000*E65/F65</f>
        <v>8125.391752470840</v>
      </c>
      <c r="H65" s="34"/>
      <c r="I65" s="34"/>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row>
    <row r="66" ht="15" customHeight="1">
      <c r="A66" s="36">
        <f>A65+1</f>
        <v>1950</v>
      </c>
      <c r="B66" s="37"/>
      <c r="C66" s="36">
        <v>17.105</v>
      </c>
      <c r="D66" s="37"/>
      <c r="E66" s="38">
        <f>($B$111/$C$111)*C66</f>
        <v>1289.722473735780</v>
      </c>
      <c r="F66" s="36">
        <v>151.684</v>
      </c>
      <c r="G66" s="38">
        <f>1000*E66/F66</f>
        <v>8502.692925659790</v>
      </c>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row>
    <row r="67" ht="15" customHeight="1">
      <c r="A67" s="36">
        <f>A66+1</f>
        <v>1951</v>
      </c>
      <c r="B67" s="37"/>
      <c r="C67" s="36">
        <v>17.378</v>
      </c>
      <c r="D67" s="37"/>
      <c r="E67" s="38">
        <f>($B$111/$C$111)*C67</f>
        <v>1310.306761097950</v>
      </c>
      <c r="F67" s="36">
        <v>154.287</v>
      </c>
      <c r="G67" s="38">
        <f>1000*E67/F67</f>
        <v>8492.658234964380</v>
      </c>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4"/>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row>
    <row r="68" ht="15" customHeight="1">
      <c r="A68" s="36">
        <f>A67+1</f>
        <v>1952</v>
      </c>
      <c r="B68" s="37"/>
      <c r="C68" s="36">
        <v>17.928</v>
      </c>
      <c r="D68" s="37"/>
      <c r="E68" s="38">
        <f>($B$111/$C$111)*C68</f>
        <v>1351.776937102320</v>
      </c>
      <c r="F68" s="36">
        <v>156.954</v>
      </c>
      <c r="G68" s="38">
        <f>1000*E68/F68</f>
        <v>8612.567612818530</v>
      </c>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row>
    <row r="69" ht="15" customHeight="1">
      <c r="A69" s="36">
        <f>A68+1</f>
        <v>1953</v>
      </c>
      <c r="B69" s="37"/>
      <c r="C69" s="36">
        <v>18.78</v>
      </c>
      <c r="D69" s="37"/>
      <c r="E69" s="38">
        <f>($B$111/$C$111)*C69</f>
        <v>1416.018009749080</v>
      </c>
      <c r="F69" s="36">
        <v>159.565</v>
      </c>
      <c r="G69" s="38">
        <f>1000*E69/F69</f>
        <v>8874.239399298591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4"/>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row>
    <row r="70" ht="15" customHeight="1">
      <c r="A70" s="36">
        <f>A69+1</f>
        <v>1954</v>
      </c>
      <c r="B70" s="37"/>
      <c r="C70" s="36">
        <v>19.162</v>
      </c>
      <c r="D70" s="37"/>
      <c r="E70" s="38">
        <f>($B$111/$C$111)*C70</f>
        <v>1444.820931992110</v>
      </c>
      <c r="F70" s="36">
        <v>162.391</v>
      </c>
      <c r="G70" s="38">
        <f>1000*E70/F70</f>
        <v>8897.173685685229</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row>
    <row r="71" ht="15" customHeight="1">
      <c r="A71" s="36">
        <f>A70+1</f>
        <v>1955</v>
      </c>
      <c r="B71" s="37"/>
      <c r="C71" s="36">
        <v>20.558</v>
      </c>
      <c r="D71" s="37"/>
      <c r="E71" s="38">
        <f>($B$111/$C$111)*C71</f>
        <v>1550.079778723190</v>
      </c>
      <c r="F71" s="36">
        <v>165.275</v>
      </c>
      <c r="G71" s="38">
        <f>1000*E71/F71</f>
        <v>9378.791582049251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row>
    <row r="72" ht="15" customHeight="1">
      <c r="A72" s="36">
        <f>A71+1</f>
        <v>1956</v>
      </c>
      <c r="B72" s="37"/>
      <c r="C72" s="36">
        <v>21.151</v>
      </c>
      <c r="D72" s="37"/>
      <c r="E72" s="38">
        <f>($B$111/$C$111)*C72</f>
        <v>1594.7921684879</v>
      </c>
      <c r="F72" s="36">
        <v>168.221</v>
      </c>
      <c r="G72" s="38">
        <f>1000*E72/F72</f>
        <v>9480.339366000080</v>
      </c>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row>
    <row r="73" ht="15" customHeight="1">
      <c r="A73" s="36">
        <f>A72+1</f>
        <v>1957</v>
      </c>
      <c r="B73" s="37"/>
      <c r="C73" s="36">
        <v>21.674</v>
      </c>
      <c r="D73" s="37"/>
      <c r="E73" s="38">
        <f>($B$111/$C$111)*C73</f>
        <v>1634.226535852050</v>
      </c>
      <c r="F73" s="36">
        <v>171.274</v>
      </c>
      <c r="G73" s="38">
        <f>1000*E73/F73</f>
        <v>9541.591460770749</v>
      </c>
      <c r="H73" s="34"/>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row>
    <row r="74" ht="15" customHeight="1">
      <c r="A74" s="36">
        <f>A73+1</f>
        <v>1958</v>
      </c>
      <c r="B74" s="37"/>
      <c r="C74" s="36">
        <v>21.846</v>
      </c>
      <c r="D74" s="37"/>
      <c r="E74" s="38">
        <f>($B$111/$C$111)*C74</f>
        <v>1647.195390893420</v>
      </c>
      <c r="F74" s="36">
        <v>174.141</v>
      </c>
      <c r="G74" s="38">
        <f>1000*E74/F74</f>
        <v>9458.975145964590</v>
      </c>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row>
    <row r="75" ht="15" customHeight="1">
      <c r="A75" s="36">
        <f>A74+1</f>
        <v>1959</v>
      </c>
      <c r="B75" s="37"/>
      <c r="C75" s="36">
        <v>23.067</v>
      </c>
      <c r="D75" s="37"/>
      <c r="E75" s="38">
        <f>($B$111/$C$111)*C75</f>
        <v>1739.259181623110</v>
      </c>
      <c r="F75" s="36">
        <v>177.13</v>
      </c>
      <c r="G75" s="38">
        <f>1000*E75/F75</f>
        <v>9819.111283368769</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row>
    <row r="76" ht="15" customHeight="1">
      <c r="A76" s="36">
        <f>A75+1</f>
        <v>1960</v>
      </c>
      <c r="B76" s="37"/>
      <c r="C76" s="36">
        <v>23.702</v>
      </c>
      <c r="D76" s="37"/>
      <c r="E76" s="38">
        <f>($B$111/$C$111)*C76</f>
        <v>1787.138384828150</v>
      </c>
      <c r="F76" s="36">
        <v>180.76</v>
      </c>
      <c r="G76" s="38">
        <f>1000*E76/F76</f>
        <v>9886.8023059756</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c r="CJ76" s="34"/>
    </row>
    <row r="77" ht="15" customHeight="1">
      <c r="A77" s="36">
        <f>A76+1</f>
        <v>1961</v>
      </c>
      <c r="B77" s="37"/>
      <c r="C77" s="36">
        <v>24.191</v>
      </c>
      <c r="D77" s="37"/>
      <c r="E77" s="38">
        <f>($B$111/$C$111)*C77</f>
        <v>1824.009141312030</v>
      </c>
      <c r="F77" s="36">
        <v>183.742</v>
      </c>
      <c r="G77" s="38">
        <f>1000*E77/F77</f>
        <v>9927.012557346879</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4"/>
      <c r="BG77" s="34"/>
      <c r="BH77" s="34"/>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row>
    <row r="78" ht="15" customHeight="1">
      <c r="A78" s="36">
        <f>A77+1</f>
        <v>1962</v>
      </c>
      <c r="B78" s="37"/>
      <c r="C78" s="36">
        <v>25.389</v>
      </c>
      <c r="D78" s="37"/>
      <c r="E78" s="38">
        <f>($B$111/$C$111)*C78</f>
        <v>1914.338724681540</v>
      </c>
      <c r="F78" s="36">
        <v>186.59</v>
      </c>
      <c r="G78" s="38">
        <f>1000*E78/F78</f>
        <v>10259.5997892788</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row>
    <row r="79" ht="15" customHeight="1">
      <c r="A79" s="36">
        <f>A78+1</f>
        <v>1963</v>
      </c>
      <c r="B79" s="37"/>
      <c r="C79" s="36">
        <v>26.436</v>
      </c>
      <c r="D79" s="37"/>
      <c r="E79" s="38">
        <f>($B$111/$C$111)*C79</f>
        <v>1993.282859729850</v>
      </c>
      <c r="F79" s="36">
        <v>189.3</v>
      </c>
      <c r="G79" s="38">
        <f>1000*E79/F79</f>
        <v>10529.7562584778</v>
      </c>
      <c r="H79" s="34"/>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row>
    <row r="80" ht="15" customHeight="1">
      <c r="A80" s="36">
        <f>A79+1</f>
        <v>1964</v>
      </c>
      <c r="B80" s="37"/>
      <c r="C80" s="36">
        <v>28.02</v>
      </c>
      <c r="D80" s="37"/>
      <c r="E80" s="38">
        <f>($B$111/$C$111)*C80</f>
        <v>2112.716966622430</v>
      </c>
      <c r="F80" s="36">
        <v>191.927</v>
      </c>
      <c r="G80" s="38">
        <f>1000*E80/F80</f>
        <v>11007.9195038865</v>
      </c>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row>
    <row r="81" ht="15" customHeight="1">
      <c r="A81" s="36">
        <f>A80+1</f>
        <v>1965</v>
      </c>
      <c r="B81" s="37"/>
      <c r="C81" s="36">
        <v>29.791</v>
      </c>
      <c r="D81" s="37"/>
      <c r="E81" s="38">
        <f>($B$111/$C$111)*C81</f>
        <v>2246.250933356490</v>
      </c>
      <c r="F81" s="36">
        <v>194.347</v>
      </c>
      <c r="G81" s="38">
        <f>1000*E81/F81</f>
        <v>11557.9398362542</v>
      </c>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row>
    <row r="82" ht="15" customHeight="1">
      <c r="A82" s="36">
        <f>A81+1</f>
        <v>1966</v>
      </c>
      <c r="B82" s="37"/>
      <c r="C82" s="36">
        <v>31.484</v>
      </c>
      <c r="D82" s="37"/>
      <c r="E82" s="38">
        <f>($B$111/$C$111)*C82</f>
        <v>2373.903675129930</v>
      </c>
      <c r="F82" s="36">
        <v>196.599</v>
      </c>
      <c r="G82" s="38">
        <f>1000*E82/F82</f>
        <v>12074.8512206569</v>
      </c>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4"/>
      <c r="BG82" s="34"/>
      <c r="BH82" s="34"/>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c r="CJ82" s="34"/>
    </row>
    <row r="83" ht="15" customHeight="1">
      <c r="A83" s="36">
        <f>A82+1</f>
        <v>1967</v>
      </c>
      <c r="B83" s="37"/>
      <c r="C83" s="36">
        <v>32.422</v>
      </c>
      <c r="D83" s="37"/>
      <c r="E83" s="38">
        <f>($B$111/$C$111)*C83</f>
        <v>2444.629175297370</v>
      </c>
      <c r="F83" s="36">
        <v>198.752</v>
      </c>
      <c r="G83" s="38">
        <f>1000*E83/F83</f>
        <v>12299.8972352347</v>
      </c>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row>
    <row r="84" ht="15" customHeight="1">
      <c r="A84" s="36">
        <f>A83+1</f>
        <v>1968</v>
      </c>
      <c r="B84" s="37"/>
      <c r="C84" s="36">
        <v>34.284</v>
      </c>
      <c r="D84" s="37"/>
      <c r="E84" s="38">
        <f>($B$111/$C$111)*C84</f>
        <v>2585.024571152150</v>
      </c>
      <c r="F84" s="36">
        <v>200.745</v>
      </c>
      <c r="G84" s="38">
        <f>1000*E84/F84</f>
        <v>12877.1554517032</v>
      </c>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c r="CJ84" s="34"/>
    </row>
    <row r="85" ht="15" customHeight="1">
      <c r="A85" s="36">
        <f>A84+1</f>
        <v>1969</v>
      </c>
      <c r="B85" s="37"/>
      <c r="C85" s="36">
        <v>35.558</v>
      </c>
      <c r="D85" s="37"/>
      <c r="E85" s="38">
        <f>($B$111/$C$111)*C85</f>
        <v>2681.084578842270</v>
      </c>
      <c r="F85" s="36">
        <v>202.736</v>
      </c>
      <c r="G85" s="38">
        <f>1000*E85/F85</f>
        <v>13224.5115758537</v>
      </c>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row>
    <row r="86" ht="15" customHeight="1">
      <c r="A86" s="36">
        <f>A85+1</f>
        <v>1970</v>
      </c>
      <c r="B86" s="37"/>
      <c r="C86" s="36">
        <v>36.381</v>
      </c>
      <c r="D86" s="37"/>
      <c r="E86" s="38">
        <f>($B$111/$C$111)*C86</f>
        <v>2743.1390422088</v>
      </c>
      <c r="F86" s="36">
        <v>205.089</v>
      </c>
      <c r="G86" s="38">
        <f>1000*E86/F86</f>
        <v>13375.3591962943</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row>
    <row r="87" ht="15" customHeight="1">
      <c r="A87" s="36">
        <f>A86+1</f>
        <v>1971</v>
      </c>
      <c r="B87" s="37"/>
      <c r="C87" s="36">
        <v>37.77</v>
      </c>
      <c r="D87" s="37"/>
      <c r="E87" s="38">
        <f>($B$111/$C$111)*C87</f>
        <v>2847.870086699830</v>
      </c>
      <c r="F87" s="36">
        <v>207.692</v>
      </c>
      <c r="G87" s="38">
        <f>1000*E87/F87</f>
        <v>13711.9873981657</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row>
    <row r="88" ht="15" customHeight="1">
      <c r="A88" s="36">
        <f>A87+1</f>
        <v>1972</v>
      </c>
      <c r="B88" s="37"/>
      <c r="C88" s="36">
        <v>40.082</v>
      </c>
      <c r="D88" s="37"/>
      <c r="E88" s="38">
        <f>($B$111/$C$111)*C88</f>
        <v>3022.195626558180</v>
      </c>
      <c r="F88" s="36">
        <v>209.924</v>
      </c>
      <c r="G88" s="38">
        <f>1000*E88/F88</f>
        <v>14396.6179501066</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row>
    <row r="89" ht="15" customHeight="1">
      <c r="A89" s="36">
        <f>A88+1</f>
        <v>1973</v>
      </c>
      <c r="B89" s="37"/>
      <c r="C89" s="36">
        <v>42.048</v>
      </c>
      <c r="D89" s="37"/>
      <c r="E89" s="38">
        <f>($B$111/$C$111)*C89</f>
        <v>3170.432655693780</v>
      </c>
      <c r="F89" s="36">
        <v>211.939</v>
      </c>
      <c r="G89" s="38">
        <f>1000*E89/F89</f>
        <v>14959.175308432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c r="BA89" s="34"/>
      <c r="BB89" s="34"/>
      <c r="BC89" s="34"/>
      <c r="BD89" s="34"/>
      <c r="BE89" s="34"/>
      <c r="BF89" s="34"/>
      <c r="BG89" s="34"/>
      <c r="BH89" s="34"/>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row>
    <row r="90" ht="15" customHeight="1">
      <c r="A90" s="36">
        <f>A89+1</f>
        <v>1974</v>
      </c>
      <c r="B90" s="37"/>
      <c r="C90" s="36">
        <v>41.729</v>
      </c>
      <c r="D90" s="37"/>
      <c r="E90" s="38">
        <f>($B$111/$C$111)*C90</f>
        <v>3146.379953611250</v>
      </c>
      <c r="F90" s="36">
        <v>213.898</v>
      </c>
      <c r="G90" s="38">
        <f>1000*E90/F90</f>
        <v>14709.7212391479</v>
      </c>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row>
    <row r="91" ht="15" customHeight="1">
      <c r="A91" s="36">
        <f>A90+1</f>
        <v>1975</v>
      </c>
      <c r="B91" s="37"/>
      <c r="C91" s="36">
        <v>42.688</v>
      </c>
      <c r="D91" s="37"/>
      <c r="E91" s="38">
        <f>($B$111/$C$111)*C91</f>
        <v>3218.688860498870</v>
      </c>
      <c r="F91" s="36">
        <v>215.981</v>
      </c>
      <c r="G91" s="38">
        <f>1000*E91/F91</f>
        <v>14902.6481982159</v>
      </c>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4"/>
      <c r="BH91" s="34"/>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row>
    <row r="92" ht="15" customHeight="1">
      <c r="A92" s="36">
        <f>A91+1</f>
        <v>1976</v>
      </c>
      <c r="B92" s="37"/>
      <c r="C92" s="36">
        <v>45.041</v>
      </c>
      <c r="D92" s="37"/>
      <c r="E92" s="38">
        <f>($B$111/$C$111)*C92</f>
        <v>3396.105813477540</v>
      </c>
      <c r="F92" s="36">
        <v>218.086</v>
      </c>
      <c r="G92" s="38">
        <f>1000*E92/F92</f>
        <v>15572.3238239848</v>
      </c>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c r="CJ92" s="34"/>
    </row>
    <row r="93" ht="15" customHeight="1">
      <c r="A93" s="36">
        <f>A92+1</f>
        <v>1977</v>
      </c>
      <c r="B93" s="37"/>
      <c r="C93" s="36">
        <v>46.95</v>
      </c>
      <c r="D93" s="37"/>
      <c r="E93" s="38">
        <f>($B$111/$C$111)*C93</f>
        <v>3540.0450243727</v>
      </c>
      <c r="F93" s="36">
        <v>220.289</v>
      </c>
      <c r="G93" s="38">
        <f>1000*E93/F93</f>
        <v>16070.003606048</v>
      </c>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c r="BA93" s="34"/>
      <c r="BB93" s="34"/>
      <c r="BC93" s="34"/>
      <c r="BD93" s="34"/>
      <c r="BE93" s="34"/>
      <c r="BF93" s="34"/>
      <c r="BG93" s="34"/>
      <c r="BH93" s="34"/>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c r="CJ93" s="34"/>
    </row>
    <row r="94" ht="15" customHeight="1">
      <c r="A94" s="36">
        <f>A93+1</f>
        <v>1978</v>
      </c>
      <c r="B94" s="37"/>
      <c r="C94" s="36">
        <v>49.012</v>
      </c>
      <c r="D94" s="37"/>
      <c r="E94" s="38">
        <f>($B$111/$C$111)*C94</f>
        <v>3695.520484229070</v>
      </c>
      <c r="F94" s="36">
        <v>222.629</v>
      </c>
      <c r="G94" s="38">
        <f>1000*E94/F94</f>
        <v>16599.4568732244</v>
      </c>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c r="CJ94" s="34"/>
    </row>
    <row r="95" ht="15" customHeight="1">
      <c r="A95" s="36">
        <f>A94+1</f>
        <v>1979</v>
      </c>
      <c r="B95" s="37"/>
      <c r="C95" s="36">
        <v>50.204</v>
      </c>
      <c r="D95" s="37"/>
      <c r="E95" s="38">
        <f>($B$111/$C$111)*C95</f>
        <v>3785.397665678530</v>
      </c>
      <c r="F95" s="36">
        <v>225.106</v>
      </c>
      <c r="G95" s="38">
        <f>1000*E95/F95</f>
        <v>16816.0673890457</v>
      </c>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c r="BA95" s="34"/>
      <c r="BB95" s="34"/>
      <c r="BC95" s="34"/>
      <c r="BD95" s="34"/>
      <c r="BE95" s="34"/>
      <c r="BF95" s="34"/>
      <c r="BG95" s="34"/>
      <c r="BH95" s="34"/>
      <c r="BI95" s="34"/>
      <c r="BJ95" s="3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c r="CJ95" s="34"/>
    </row>
    <row r="96" ht="15" customHeight="1">
      <c r="A96" s="36">
        <f>A95+1</f>
        <v>1980</v>
      </c>
      <c r="B96" s="37"/>
      <c r="C96" s="36">
        <v>50.065</v>
      </c>
      <c r="D96" s="37"/>
      <c r="E96" s="38">
        <f>($B$111/$C$111)*C96</f>
        <v>3774.917021197430</v>
      </c>
      <c r="F96" s="36">
        <v>227.726</v>
      </c>
      <c r="G96" s="38">
        <f>1000*E96/F96</f>
        <v>16576.5745729404</v>
      </c>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c r="BA96" s="34"/>
      <c r="BB96" s="34"/>
      <c r="BC96" s="34"/>
      <c r="BD96" s="34"/>
      <c r="BE96" s="34"/>
      <c r="BF96" s="34"/>
      <c r="BG96" s="34"/>
      <c r="BH96" s="34"/>
      <c r="BI96" s="34"/>
      <c r="BJ96" s="34"/>
      <c r="BK96" s="34"/>
      <c r="BL96" s="34"/>
      <c r="BM96" s="34"/>
      <c r="BN96" s="34"/>
      <c r="BO96" s="34"/>
      <c r="BP96" s="34"/>
      <c r="BQ96" s="34"/>
      <c r="BR96" s="34"/>
      <c r="BS96" s="34"/>
      <c r="BT96" s="34"/>
      <c r="BU96" s="34"/>
      <c r="BV96" s="34"/>
      <c r="BW96" s="34"/>
      <c r="BX96" s="34"/>
      <c r="BY96" s="34"/>
      <c r="BZ96" s="34"/>
      <c r="CA96" s="34"/>
      <c r="CB96" s="34"/>
      <c r="CC96" s="34"/>
      <c r="CD96" s="34"/>
      <c r="CE96" s="34"/>
      <c r="CF96" s="34"/>
      <c r="CG96" s="34"/>
      <c r="CH96" s="34"/>
      <c r="CI96" s="34"/>
      <c r="CJ96" s="34"/>
    </row>
    <row r="97" ht="15" customHeight="1">
      <c r="A97" s="36">
        <f>A96+1</f>
        <v>1981</v>
      </c>
      <c r="B97" s="37"/>
      <c r="C97" s="36">
        <v>50.779</v>
      </c>
      <c r="D97" s="37"/>
      <c r="E97" s="38">
        <f>($B$111/$C$111)*C97</f>
        <v>3828.752849683090</v>
      </c>
      <c r="F97" s="36">
        <v>230.008</v>
      </c>
      <c r="G97" s="38">
        <f>1000*E97/F97</f>
        <v>16646.1725230561</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c r="BA97" s="34"/>
      <c r="BB97" s="34"/>
      <c r="BC97" s="34"/>
      <c r="BD97" s="34"/>
      <c r="BE97" s="34"/>
      <c r="BF97" s="34"/>
      <c r="BG97" s="34"/>
      <c r="BH97" s="34"/>
      <c r="BI97" s="34"/>
      <c r="BJ97" s="3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c r="CJ97" s="34"/>
    </row>
    <row r="98" ht="15" customHeight="1">
      <c r="A98" s="36">
        <f>A97+1</f>
        <v>1982</v>
      </c>
      <c r="B98" s="34"/>
      <c r="C98" s="36">
        <v>51.493</v>
      </c>
      <c r="D98" s="34"/>
      <c r="E98" s="38">
        <f>($B$111/$C$111)*C98</f>
        <v>3882.588678168760</v>
      </c>
      <c r="F98" s="36">
        <v>232.218</v>
      </c>
      <c r="G98" s="38">
        <f>1000*E98/F98</f>
        <v>16719.5853817049</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c r="BA98" s="34"/>
      <c r="BB98" s="34"/>
      <c r="BC98" s="34"/>
      <c r="BD98" s="34"/>
      <c r="BE98" s="34"/>
      <c r="BF98" s="34"/>
      <c r="BG98" s="34"/>
      <c r="BH98" s="34"/>
      <c r="BI98" s="34"/>
      <c r="BJ98" s="34"/>
      <c r="BK98" s="34"/>
      <c r="BL98" s="34"/>
      <c r="BM98" s="34"/>
      <c r="BN98" s="34"/>
      <c r="BO98" s="34"/>
      <c r="BP98" s="34"/>
      <c r="BQ98" s="34"/>
      <c r="BR98" s="34"/>
      <c r="BS98" s="34"/>
      <c r="BT98" s="34"/>
      <c r="BU98" s="34"/>
      <c r="BV98" s="34"/>
      <c r="BW98" s="34"/>
      <c r="BX98" s="34"/>
      <c r="BY98" s="34"/>
      <c r="BZ98" s="34"/>
      <c r="CA98" s="34"/>
      <c r="CB98" s="34"/>
      <c r="CC98" s="34"/>
      <c r="CD98" s="34"/>
      <c r="CE98" s="34"/>
      <c r="CF98" s="34"/>
      <c r="CG98" s="34"/>
      <c r="CH98" s="34"/>
      <c r="CI98" s="34"/>
      <c r="CJ98" s="34"/>
    </row>
    <row r="99" ht="15" customHeight="1">
      <c r="A99" s="36">
        <f>A98+1</f>
        <v>1983</v>
      </c>
      <c r="B99" s="34"/>
      <c r="C99" s="36">
        <v>54.436</v>
      </c>
      <c r="D99" s="34"/>
      <c r="E99" s="38">
        <f>($B$111/$C$111)*C99</f>
        <v>4104.491819952120</v>
      </c>
      <c r="F99" s="36">
        <v>234.333</v>
      </c>
      <c r="G99" s="38">
        <f>1000*E99/F99</f>
        <v>17515.637233988</v>
      </c>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c r="BA99" s="34"/>
      <c r="BB99" s="34"/>
      <c r="BC99" s="34"/>
      <c r="BD99" s="34"/>
      <c r="BE99" s="34"/>
      <c r="BF99" s="34"/>
      <c r="BG99" s="34"/>
      <c r="BH99" s="34"/>
      <c r="BI99" s="34"/>
      <c r="BJ99" s="3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c r="CI99" s="34"/>
      <c r="CJ99" s="34"/>
    </row>
    <row r="100" ht="15" customHeight="1">
      <c r="A100" s="36">
        <f>A99+1</f>
        <v>1984</v>
      </c>
      <c r="B100" s="34"/>
      <c r="C100" s="36">
        <v>57.325</v>
      </c>
      <c r="D100" s="34"/>
      <c r="E100" s="38">
        <f>($B$111/$C$111)*C100</f>
        <v>4322.323344455060</v>
      </c>
      <c r="F100" s="36">
        <v>236.394</v>
      </c>
      <c r="G100" s="38">
        <f>1000*E100/F100</f>
        <v>18284.4037685181</v>
      </c>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c r="BA100" s="34"/>
      <c r="BB100" s="34"/>
      <c r="BC100" s="34"/>
      <c r="BD100" s="34"/>
      <c r="BE100" s="34"/>
      <c r="BF100" s="34"/>
      <c r="BG100" s="34"/>
      <c r="BH100" s="34"/>
      <c r="BI100" s="34"/>
      <c r="BJ100" s="3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c r="CG100" s="34"/>
      <c r="CH100" s="34"/>
      <c r="CI100" s="34"/>
      <c r="CJ100" s="34"/>
    </row>
    <row r="101" ht="15" customHeight="1">
      <c r="A101" s="36">
        <f>A100+1</f>
        <v>1985</v>
      </c>
      <c r="B101" s="34"/>
      <c r="C101" s="36">
        <v>60.303</v>
      </c>
      <c r="D101" s="34"/>
      <c r="E101" s="38">
        <f>($B$111/$C$111)*C101</f>
        <v>4546.8654974387</v>
      </c>
      <c r="F101" s="36">
        <v>238.506</v>
      </c>
      <c r="G101" s="38">
        <f>1000*E101/F101</f>
        <v>19063.9459696557</v>
      </c>
      <c r="H101" s="34"/>
      <c r="I101" s="39"/>
      <c r="J101" s="39"/>
      <c r="K101" s="39"/>
      <c r="L101" s="39"/>
      <c r="M101" s="39"/>
      <c r="N101" s="39"/>
      <c r="O101" s="39"/>
      <c r="P101" s="39"/>
      <c r="Q101" s="39"/>
      <c r="R101" s="39"/>
      <c r="S101" s="39"/>
      <c r="T101" s="39"/>
      <c r="U101" s="39"/>
      <c r="V101" s="39"/>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c r="BA101" s="34"/>
      <c r="BB101" s="34"/>
      <c r="BC101" s="34"/>
      <c r="BD101" s="34"/>
      <c r="BE101" s="34"/>
      <c r="BF101" s="34"/>
      <c r="BG101" s="34"/>
      <c r="BH101" s="34"/>
      <c r="BI101" s="34"/>
      <c r="BJ101" s="3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c r="CJ101" s="34"/>
    </row>
    <row r="102" ht="15" customHeight="1">
      <c r="A102" s="36">
        <f>A101+1</f>
        <v>1986</v>
      </c>
      <c r="B102" s="34"/>
      <c r="C102" s="36">
        <v>62.749</v>
      </c>
      <c r="D102" s="34"/>
      <c r="E102" s="38">
        <f>($B$111/$C$111)*C102</f>
        <v>4731.294680178110</v>
      </c>
      <c r="F102" s="36">
        <v>240.683</v>
      </c>
      <c r="G102" s="38">
        <f>1000*E102/F102</f>
        <v>19657.785054109</v>
      </c>
      <c r="H102" s="40"/>
      <c r="I102" s="41">
        <v>6079</v>
      </c>
      <c r="J102" s="41">
        <v>6291.2</v>
      </c>
      <c r="K102" s="41">
        <v>6523.4</v>
      </c>
      <c r="L102" s="41">
        <v>6865.5</v>
      </c>
      <c r="M102" s="41">
        <v>7240.9</v>
      </c>
      <c r="N102" s="41">
        <v>7608.1</v>
      </c>
      <c r="O102" s="41">
        <v>7813.9</v>
      </c>
      <c r="P102" s="41">
        <v>8021.9</v>
      </c>
      <c r="Q102" s="41">
        <v>8247.6</v>
      </c>
      <c r="R102" s="41">
        <v>8532.700000000001</v>
      </c>
      <c r="S102" s="41">
        <v>8819</v>
      </c>
      <c r="T102" s="41">
        <v>9073.5</v>
      </c>
      <c r="U102" s="41">
        <v>9313.9</v>
      </c>
      <c r="V102" s="41">
        <v>9290.9</v>
      </c>
      <c r="W102" s="42"/>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row>
    <row r="103" ht="15" customHeight="1">
      <c r="A103" s="36">
        <f>A102+1</f>
        <v>1987</v>
      </c>
      <c r="B103" s="34"/>
      <c r="C103" s="36">
        <v>64.84</v>
      </c>
      <c r="D103" s="34"/>
      <c r="E103" s="38">
        <f>($B$111/$C$111)*C103</f>
        <v>4888.956749314710</v>
      </c>
      <c r="F103" s="36">
        <v>242.843</v>
      </c>
      <c r="G103" s="38">
        <f>1000*E103/F103</f>
        <v>20132.1707824179</v>
      </c>
      <c r="H103" s="34"/>
      <c r="I103" s="43"/>
      <c r="J103" s="43"/>
      <c r="K103" s="43"/>
      <c r="L103" s="43"/>
      <c r="M103" s="43"/>
      <c r="N103" s="43"/>
      <c r="O103" s="43"/>
      <c r="P103" s="43"/>
      <c r="Q103" s="43"/>
      <c r="R103" s="43"/>
      <c r="S103" s="43"/>
      <c r="T103" s="43"/>
      <c r="U103" s="43"/>
      <c r="V103" s="43"/>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row>
    <row r="104" ht="15" customHeight="1">
      <c r="A104" s="36">
        <f>A103+1</f>
        <v>1988</v>
      </c>
      <c r="B104" s="34"/>
      <c r="C104" s="36">
        <v>67.468</v>
      </c>
      <c r="D104" s="34"/>
      <c r="E104" s="38">
        <f>($B$111/$C$111)*C104</f>
        <v>5087.108790295570</v>
      </c>
      <c r="F104" s="36">
        <v>245.061</v>
      </c>
      <c r="G104" s="38">
        <f>1000*E104/F104</f>
        <v>20758.540895106</v>
      </c>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c r="BA104" s="34"/>
      <c r="BB104" s="34"/>
      <c r="BC104" s="34"/>
      <c r="BD104" s="34"/>
      <c r="BE104" s="34"/>
      <c r="BF104" s="34"/>
      <c r="BG104" s="34"/>
      <c r="BH104" s="34"/>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row>
    <row r="105" ht="15" customHeight="1">
      <c r="A105" s="36">
        <f>A104+1</f>
        <v>1989</v>
      </c>
      <c r="B105" s="34"/>
      <c r="C105" s="36">
        <v>69.369</v>
      </c>
      <c r="D105" s="34"/>
      <c r="E105" s="38">
        <f>($B$111/$C$111)*C105</f>
        <v>5230.444798630660</v>
      </c>
      <c r="F105" s="36">
        <v>247.387</v>
      </c>
      <c r="G105" s="38">
        <f>1000*E105/F105</f>
        <v>21142.7633571314</v>
      </c>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c r="CJ105" s="34"/>
    </row>
    <row r="106" ht="15" customHeight="1">
      <c r="A106" s="36">
        <v>1990</v>
      </c>
      <c r="B106" s="34"/>
      <c r="C106" s="36">
        <v>70.782</v>
      </c>
      <c r="D106" s="34"/>
      <c r="E106" s="38">
        <f>($B$111/$C$111)*C106</f>
        <v>5336.985450801880</v>
      </c>
      <c r="F106" s="36">
        <v>250.181</v>
      </c>
      <c r="G106" s="38">
        <f>1000*E106/F106</f>
        <v>21332.497075325</v>
      </c>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c r="CJ106" s="34"/>
    </row>
    <row r="107" ht="15" customHeight="1">
      <c r="A107" s="36">
        <v>1991</v>
      </c>
      <c r="B107" s="34"/>
      <c r="C107" s="36">
        <v>70.90300000000001</v>
      </c>
      <c r="D107" s="34"/>
      <c r="E107" s="38">
        <f>($B$111/$C$111)*C107</f>
        <v>5346.108889522840</v>
      </c>
      <c r="F107" s="36">
        <v>253.53</v>
      </c>
      <c r="G107" s="38">
        <f>1000*E107/F107</f>
        <v>21086.6914744718</v>
      </c>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c r="CJ107" s="34"/>
    </row>
    <row r="108" ht="15" customHeight="1">
      <c r="A108" s="36">
        <v>1992</v>
      </c>
      <c r="B108" s="34"/>
      <c r="C108" s="36">
        <v>73.224</v>
      </c>
      <c r="D108" s="34"/>
      <c r="E108" s="38">
        <f>($B$111/$C$111)*C108</f>
        <v>5521.113032261270</v>
      </c>
      <c r="F108" s="36">
        <v>256.922</v>
      </c>
      <c r="G108" s="38">
        <f>1000*E108/F108</f>
        <v>21489.4521771638</v>
      </c>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c r="BA108" s="34"/>
      <c r="BB108" s="34"/>
      <c r="BC108" s="34"/>
      <c r="BD108" s="34"/>
      <c r="BE108" s="34"/>
      <c r="BF108" s="34"/>
      <c r="BG108" s="34"/>
      <c r="BH108" s="34"/>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c r="CJ108" s="34"/>
    </row>
    <row r="109" ht="15" customHeight="1">
      <c r="A109" s="36">
        <v>1993</v>
      </c>
      <c r="B109" s="34"/>
      <c r="C109" s="36">
        <v>75.672</v>
      </c>
      <c r="D109" s="34"/>
      <c r="E109" s="38">
        <f>($B$111/$C$111)*C109</f>
        <v>5705.6930156407</v>
      </c>
      <c r="F109" s="36">
        <v>260.282</v>
      </c>
      <c r="G109" s="38">
        <f>1000*E109/F109</f>
        <v>21921.1970694889</v>
      </c>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c r="BE109" s="34"/>
      <c r="BF109" s="34"/>
      <c r="BG109" s="34"/>
      <c r="BH109" s="34"/>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c r="CG109" s="34"/>
      <c r="CH109" s="34"/>
      <c r="CI109" s="34"/>
      <c r="CJ109" s="34"/>
    </row>
    <row r="110" ht="15" customHeight="1">
      <c r="A110" s="36">
        <v>1994</v>
      </c>
      <c r="B110" s="39"/>
      <c r="C110" s="36">
        <v>78.504</v>
      </c>
      <c r="D110" s="34"/>
      <c r="E110" s="38">
        <f>($B$111/$C$111)*C110</f>
        <v>5919.226721903180</v>
      </c>
      <c r="F110" s="36">
        <v>263.455</v>
      </c>
      <c r="G110" s="38">
        <f>1000*E110/F110</f>
        <v>22467.6955149957</v>
      </c>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c r="BA110" s="34"/>
      <c r="BB110" s="34"/>
      <c r="BC110" s="34"/>
      <c r="BD110" s="34"/>
      <c r="BE110" s="34"/>
      <c r="BF110" s="34"/>
      <c r="BG110" s="34"/>
      <c r="BH110" s="34"/>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c r="CJ110" s="34"/>
    </row>
    <row r="111" ht="15" customHeight="1">
      <c r="A111" s="44">
        <v>1995</v>
      </c>
      <c r="B111" s="45">
        <v>6079</v>
      </c>
      <c r="C111" s="46">
        <v>80.623</v>
      </c>
      <c r="D111" s="34"/>
      <c r="E111" s="47">
        <f>B111</f>
        <v>6079</v>
      </c>
      <c r="F111" s="36">
        <v>266.588</v>
      </c>
      <c r="G111" s="38">
        <f>1000*E111/F111</f>
        <v>22802.9768781791</v>
      </c>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c r="BA111" s="34"/>
      <c r="BB111" s="34"/>
      <c r="BC111" s="34"/>
      <c r="BD111" s="34"/>
      <c r="BE111" s="34"/>
      <c r="BF111" s="34"/>
      <c r="BG111" s="34"/>
      <c r="BH111" s="34"/>
      <c r="BI111" s="34"/>
      <c r="BJ111" s="3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c r="CJ111" s="34"/>
    </row>
    <row r="112" ht="15" customHeight="1">
      <c r="A112" s="44">
        <v>1996</v>
      </c>
      <c r="B112" s="45">
        <v>6291.2</v>
      </c>
      <c r="C112" s="46">
        <v>83.38200000000001</v>
      </c>
      <c r="D112" s="34"/>
      <c r="E112" s="47">
        <f>B112</f>
        <v>6291.2</v>
      </c>
      <c r="F112" s="36">
        <v>269.714</v>
      </c>
      <c r="G112" s="38">
        <f>1000*E112/F112</f>
        <v>23325.448437975</v>
      </c>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c r="BA112" s="34"/>
      <c r="BB112" s="34"/>
      <c r="BC112" s="34"/>
      <c r="BD112" s="34"/>
      <c r="BE112" s="34"/>
      <c r="BF112" s="34"/>
      <c r="BG112" s="34"/>
      <c r="BH112" s="34"/>
      <c r="BI112" s="34"/>
      <c r="BJ112" s="3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c r="CG112" s="34"/>
      <c r="CH112" s="34"/>
      <c r="CI112" s="34"/>
      <c r="CJ112" s="34"/>
    </row>
    <row r="113" ht="15" customHeight="1">
      <c r="A113" s="44">
        <v>1997</v>
      </c>
      <c r="B113" s="45">
        <v>6523.4</v>
      </c>
      <c r="C113" s="46">
        <v>86.533</v>
      </c>
      <c r="D113" s="34"/>
      <c r="E113" s="47">
        <f>B113</f>
        <v>6523.4</v>
      </c>
      <c r="F113" s="36">
        <v>272.958</v>
      </c>
      <c r="G113" s="38">
        <f>1000*E113/F113</f>
        <v>23898.9148513691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c r="BA113" s="34"/>
      <c r="BB113" s="34"/>
      <c r="BC113" s="34"/>
      <c r="BD113" s="34"/>
      <c r="BE113" s="34"/>
      <c r="BF113" s="34"/>
      <c r="BG113" s="34"/>
      <c r="BH113" s="34"/>
      <c r="BI113" s="34"/>
      <c r="BJ113" s="34"/>
      <c r="BK113" s="34"/>
      <c r="BL113" s="34"/>
      <c r="BM113" s="34"/>
      <c r="BN113" s="34"/>
      <c r="BO113" s="34"/>
      <c r="BP113" s="34"/>
      <c r="BQ113" s="34"/>
      <c r="BR113" s="34"/>
      <c r="BS113" s="34"/>
      <c r="BT113" s="34"/>
      <c r="BU113" s="34"/>
      <c r="BV113" s="34"/>
      <c r="BW113" s="34"/>
      <c r="BX113" s="34"/>
      <c r="BY113" s="34"/>
      <c r="BZ113" s="34"/>
      <c r="CA113" s="34"/>
      <c r="CB113" s="34"/>
      <c r="CC113" s="34"/>
      <c r="CD113" s="34"/>
      <c r="CE113" s="34"/>
      <c r="CF113" s="34"/>
      <c r="CG113" s="34"/>
      <c r="CH113" s="34"/>
      <c r="CI113" s="34"/>
      <c r="CJ113" s="34"/>
    </row>
    <row r="114" ht="15" customHeight="1">
      <c r="A114" s="44">
        <v>1998</v>
      </c>
      <c r="B114" s="45">
        <v>6865.5</v>
      </c>
      <c r="C114" s="46">
        <v>90.896</v>
      </c>
      <c r="D114" s="34"/>
      <c r="E114" s="47">
        <f>B114</f>
        <v>6865.5</v>
      </c>
      <c r="F114" s="36">
        <v>276.154</v>
      </c>
      <c r="G114" s="38">
        <f>1000*E114/F114</f>
        <v>24861.1282110706</v>
      </c>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c r="BE114" s="34"/>
      <c r="BF114" s="34"/>
      <c r="BG114" s="34"/>
      <c r="BH114" s="34"/>
      <c r="BI114" s="34"/>
      <c r="BJ114" s="3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c r="CJ114" s="34"/>
    </row>
    <row r="115" ht="15" customHeight="1">
      <c r="A115" s="44">
        <v>1999</v>
      </c>
      <c r="B115" s="45">
        <v>7240.9</v>
      </c>
      <c r="C115" s="46">
        <v>95.53700000000001</v>
      </c>
      <c r="D115" s="34"/>
      <c r="E115" s="47">
        <f>B115</f>
        <v>7240.9</v>
      </c>
      <c r="F115" s="36">
        <v>279.328</v>
      </c>
      <c r="G115" s="38">
        <f>1000*E115/F115</f>
        <v>25922.5713140108</v>
      </c>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c r="BA115" s="34"/>
      <c r="BB115" s="34"/>
      <c r="BC115" s="34"/>
      <c r="BD115" s="34"/>
      <c r="BE115" s="34"/>
      <c r="BF115" s="34"/>
      <c r="BG115" s="34"/>
      <c r="BH115" s="34"/>
      <c r="BI115" s="34"/>
      <c r="BJ115" s="34"/>
      <c r="BK115" s="34"/>
      <c r="BL115" s="34"/>
      <c r="BM115" s="34"/>
      <c r="BN115" s="34"/>
      <c r="BO115" s="34"/>
      <c r="BP115" s="34"/>
      <c r="BQ115" s="34"/>
      <c r="BR115" s="34"/>
      <c r="BS115" s="34"/>
      <c r="BT115" s="34"/>
      <c r="BU115" s="34"/>
      <c r="BV115" s="34"/>
      <c r="BW115" s="34"/>
      <c r="BX115" s="34"/>
      <c r="BY115" s="34"/>
      <c r="BZ115" s="34"/>
      <c r="CA115" s="34"/>
      <c r="CB115" s="34"/>
      <c r="CC115" s="34"/>
      <c r="CD115" s="34"/>
      <c r="CE115" s="34"/>
      <c r="CF115" s="34"/>
      <c r="CG115" s="34"/>
      <c r="CH115" s="34"/>
      <c r="CI115" s="34"/>
      <c r="CJ115" s="34"/>
    </row>
    <row r="116" ht="15" customHeight="1">
      <c r="A116" s="44">
        <v>2000</v>
      </c>
      <c r="B116" s="45">
        <v>7608.1</v>
      </c>
      <c r="C116" s="46">
        <v>100</v>
      </c>
      <c r="D116" s="34"/>
      <c r="E116" s="47">
        <f>B116</f>
        <v>7608.1</v>
      </c>
      <c r="F116" s="36">
        <v>282.413</v>
      </c>
      <c r="G116" s="38">
        <f>1000*E116/F116</f>
        <v>26939.6238841696</v>
      </c>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c r="BA116" s="34"/>
      <c r="BB116" s="34"/>
      <c r="BC116" s="34"/>
      <c r="BD116" s="34"/>
      <c r="BE116" s="34"/>
      <c r="BF116" s="34"/>
      <c r="BG116" s="34"/>
      <c r="BH116" s="34"/>
      <c r="BI116" s="34"/>
      <c r="BJ116" s="3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c r="CG116" s="34"/>
      <c r="CH116" s="34"/>
      <c r="CI116" s="34"/>
      <c r="CJ116" s="34"/>
    </row>
    <row r="117" ht="15" customHeight="1">
      <c r="A117" s="44">
        <v>2001</v>
      </c>
      <c r="B117" s="45">
        <v>7813.9</v>
      </c>
      <c r="C117" s="46">
        <v>102.537</v>
      </c>
      <c r="D117" s="34"/>
      <c r="E117" s="47">
        <f>B117</f>
        <v>7813.9</v>
      </c>
      <c r="F117" s="36">
        <v>285.294</v>
      </c>
      <c r="G117" s="38">
        <f>1000*E117/F117</f>
        <v>27388.9391294594</v>
      </c>
      <c r="H117" s="34"/>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c r="AX117" s="39"/>
      <c r="AY117" s="39"/>
      <c r="AZ117" s="39"/>
      <c r="BA117" s="39"/>
      <c r="BB117" s="39"/>
      <c r="BC117" s="39"/>
      <c r="BD117" s="39"/>
      <c r="BE117" s="39"/>
      <c r="BF117" s="39"/>
      <c r="BG117" s="39"/>
      <c r="BH117" s="39"/>
      <c r="BI117" s="39"/>
      <c r="BJ117" s="39"/>
      <c r="BK117" s="39"/>
      <c r="BL117" s="39"/>
      <c r="BM117" s="39"/>
      <c r="BN117" s="39"/>
      <c r="BO117" s="39"/>
      <c r="BP117" s="39"/>
      <c r="BQ117" s="39"/>
      <c r="BR117" s="39"/>
      <c r="BS117" s="39"/>
      <c r="BT117" s="39"/>
      <c r="BU117" s="39"/>
      <c r="BV117" s="39"/>
      <c r="BW117" s="39"/>
      <c r="BX117" s="39"/>
      <c r="BY117" s="39"/>
      <c r="BZ117" s="39"/>
      <c r="CA117" s="39"/>
      <c r="CB117" s="39"/>
      <c r="CC117" s="39"/>
      <c r="CD117" s="39"/>
      <c r="CE117" s="39"/>
      <c r="CF117" s="39"/>
      <c r="CG117" s="39"/>
      <c r="CH117" s="39"/>
      <c r="CI117" s="39"/>
      <c r="CJ117" s="39"/>
    </row>
    <row r="118" ht="15" customHeight="1">
      <c r="A118" s="44">
        <v>2002</v>
      </c>
      <c r="B118" s="45">
        <v>8021.9</v>
      </c>
      <c r="C118" s="46">
        <v>105.698</v>
      </c>
      <c r="D118" s="34"/>
      <c r="E118" s="47">
        <f>B118</f>
        <v>8021.9</v>
      </c>
      <c r="F118" s="36">
        <v>288.055</v>
      </c>
      <c r="G118" s="38">
        <f>1000*E118/F118</f>
        <v>27848.5011542935</v>
      </c>
      <c r="H118" s="40"/>
      <c r="I118" s="48"/>
      <c r="J118" s="48"/>
      <c r="K118" s="48"/>
      <c r="L118" s="48"/>
      <c r="M118" s="48"/>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48"/>
      <c r="AL118" s="48"/>
      <c r="AM118" s="48"/>
      <c r="AN118" s="48"/>
      <c r="AO118" s="48"/>
      <c r="AP118" s="48"/>
      <c r="AQ118" s="48"/>
      <c r="AR118" s="48"/>
      <c r="AS118" s="48"/>
      <c r="AT118" s="48"/>
      <c r="AU118" s="48"/>
      <c r="AV118" s="48"/>
      <c r="AW118" s="48"/>
      <c r="AX118" s="48"/>
      <c r="AY118" s="48"/>
      <c r="AZ118" s="48"/>
      <c r="BA118" s="48"/>
      <c r="BB118" s="48"/>
      <c r="BC118" s="48"/>
      <c r="BD118" s="48"/>
      <c r="BE118" s="48"/>
      <c r="BF118" s="48"/>
      <c r="BG118" s="48"/>
      <c r="BH118" s="48"/>
      <c r="BI118" s="48"/>
      <c r="BJ118" s="48"/>
      <c r="BK118" s="48"/>
      <c r="BL118" s="48"/>
      <c r="BM118" s="48"/>
      <c r="BN118" s="48"/>
      <c r="BO118" s="48"/>
      <c r="BP118" s="48"/>
      <c r="BQ118" s="48"/>
      <c r="BR118" s="48"/>
      <c r="BS118" s="48"/>
      <c r="BT118" s="48"/>
      <c r="BU118" s="48"/>
      <c r="BV118" s="48"/>
      <c r="BW118" s="48"/>
      <c r="BX118" s="48"/>
      <c r="BY118" s="48"/>
      <c r="BZ118" s="48"/>
      <c r="CA118" s="48"/>
      <c r="CB118" s="48"/>
      <c r="CC118" s="48"/>
      <c r="CD118" s="48"/>
      <c r="CE118" s="48"/>
      <c r="CF118" s="48"/>
      <c r="CG118" s="48"/>
      <c r="CH118" s="48"/>
      <c r="CI118" s="48"/>
      <c r="CJ118" s="48"/>
    </row>
    <row r="119" ht="15" customHeight="1">
      <c r="A119" s="44">
        <v>2003</v>
      </c>
      <c r="B119" s="45">
        <v>8247.6</v>
      </c>
      <c r="C119" s="46">
        <v>109.143</v>
      </c>
      <c r="D119" s="34"/>
      <c r="E119" s="47">
        <f>B119</f>
        <v>8247.6</v>
      </c>
      <c r="F119" s="36">
        <v>290.729</v>
      </c>
      <c r="G119" s="38">
        <f>1000*E119/F119</f>
        <v>28368.6869902899</v>
      </c>
      <c r="H119" s="34"/>
      <c r="I119" s="43"/>
      <c r="J119" s="43"/>
      <c r="K119" s="43"/>
      <c r="L119" s="43"/>
      <c r="M119" s="43"/>
      <c r="N119" s="43"/>
      <c r="O119" s="43"/>
      <c r="P119" s="43"/>
      <c r="Q119" s="43"/>
      <c r="R119" s="43"/>
      <c r="S119" s="43"/>
      <c r="T119" s="43"/>
      <c r="U119" s="43"/>
      <c r="V119" s="43"/>
      <c r="W119" s="43"/>
      <c r="X119" s="43"/>
      <c r="Y119" s="43"/>
      <c r="Z119" s="43"/>
      <c r="AA119" s="43"/>
      <c r="AB119" s="43"/>
      <c r="AC119" s="43"/>
      <c r="AD119" s="43"/>
      <c r="AE119" s="43"/>
      <c r="AF119" s="43"/>
      <c r="AG119" s="43"/>
      <c r="AH119" s="43"/>
      <c r="AI119" s="43"/>
      <c r="AJ119" s="43"/>
      <c r="AK119" s="43"/>
      <c r="AL119" s="43"/>
      <c r="AM119" s="43"/>
      <c r="AN119" s="43"/>
      <c r="AO119" s="43"/>
      <c r="AP119" s="43"/>
      <c r="AQ119" s="43"/>
      <c r="AR119" s="43"/>
      <c r="AS119" s="43"/>
      <c r="AT119" s="43"/>
      <c r="AU119" s="43"/>
      <c r="AV119" s="43"/>
      <c r="AW119" s="43"/>
      <c r="AX119" s="43"/>
      <c r="AY119" s="43"/>
      <c r="AZ119" s="43"/>
      <c r="BA119" s="43"/>
      <c r="BB119" s="43"/>
      <c r="BC119" s="43"/>
      <c r="BD119" s="43"/>
      <c r="BE119" s="43"/>
      <c r="BF119" s="43"/>
      <c r="BG119" s="43"/>
      <c r="BH119" s="43"/>
      <c r="BI119" s="43"/>
      <c r="BJ119" s="43"/>
      <c r="BK119" s="43"/>
      <c r="BL119" s="43"/>
      <c r="BM119" s="43"/>
      <c r="BN119" s="43"/>
      <c r="BO119" s="43"/>
      <c r="BP119" s="43"/>
      <c r="BQ119" s="43"/>
      <c r="BR119" s="43"/>
      <c r="BS119" s="43"/>
      <c r="BT119" s="43"/>
      <c r="BU119" s="43"/>
      <c r="BV119" s="43"/>
      <c r="BW119" s="43"/>
      <c r="BX119" s="43"/>
      <c r="BY119" s="43"/>
      <c r="BZ119" s="43"/>
      <c r="CA119" s="43"/>
      <c r="CB119" s="43"/>
      <c r="CC119" s="43"/>
      <c r="CD119" s="43"/>
      <c r="CE119" s="43"/>
      <c r="CF119" s="43"/>
      <c r="CG119" s="43"/>
      <c r="CH119" s="43"/>
      <c r="CI119" s="43"/>
      <c r="CJ119" s="43"/>
    </row>
    <row r="120" ht="15" customHeight="1">
      <c r="A120" s="44">
        <v>2004</v>
      </c>
      <c r="B120" s="45">
        <v>8532.700000000001</v>
      </c>
      <c r="C120" s="42"/>
      <c r="D120" s="34"/>
      <c r="E120" s="47">
        <f>B120</f>
        <v>8532.700000000001</v>
      </c>
      <c r="F120" s="36">
        <v>293.348</v>
      </c>
      <c r="G120" s="38">
        <f>1000*E120/F120</f>
        <v>29087.2956352182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c r="AZ120" s="34"/>
      <c r="BA120" s="34"/>
      <c r="BB120" s="34"/>
      <c r="BC120" s="34"/>
      <c r="BD120" s="34"/>
      <c r="BE120" s="34"/>
      <c r="BF120" s="34"/>
      <c r="BG120" s="34"/>
      <c r="BH120" s="34"/>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c r="CG120" s="34"/>
      <c r="CH120" s="34"/>
      <c r="CI120" s="34"/>
      <c r="CJ120" s="34"/>
    </row>
    <row r="121" ht="15" customHeight="1">
      <c r="A121" s="44">
        <v>2005</v>
      </c>
      <c r="B121" s="45">
        <v>8819</v>
      </c>
      <c r="C121" s="42"/>
      <c r="D121" s="34"/>
      <c r="E121" s="47">
        <f>B121</f>
        <v>8819</v>
      </c>
      <c r="F121" s="36">
        <v>296.036</v>
      </c>
      <c r="G121" s="38">
        <f>1000*E121/F121</f>
        <v>29790.2957748382</v>
      </c>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row>
    <row r="122" ht="15" customHeight="1">
      <c r="A122" s="44">
        <v>2006</v>
      </c>
      <c r="B122" s="45">
        <v>9073.5</v>
      </c>
      <c r="C122" s="42"/>
      <c r="D122" s="34"/>
      <c r="E122" s="47">
        <f>B122</f>
        <v>9073.5</v>
      </c>
      <c r="F122" s="36">
        <v>298.82</v>
      </c>
      <c r="G122" s="38">
        <f>1000*E122/F122</f>
        <v>30364.4334381902</v>
      </c>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c r="BA122" s="34"/>
      <c r="BB122" s="34"/>
      <c r="BC122" s="34"/>
      <c r="BD122" s="34"/>
      <c r="BE122" s="34"/>
      <c r="BF122" s="34"/>
      <c r="BG122" s="34"/>
      <c r="BH122" s="34"/>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c r="CJ122" s="34"/>
    </row>
    <row r="123" ht="15" customHeight="1">
      <c r="A123" s="44">
        <v>2007</v>
      </c>
      <c r="B123" s="45">
        <v>9313.9</v>
      </c>
      <c r="C123" s="42"/>
      <c r="D123" s="34"/>
      <c r="E123" s="47">
        <f>B123</f>
        <v>9313.9</v>
      </c>
      <c r="F123" s="36">
        <v>301.737</v>
      </c>
      <c r="G123" s="38">
        <f>1000*E123/F123</f>
        <v>30867.6098721734</v>
      </c>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c r="BA123" s="34"/>
      <c r="BB123" s="34"/>
      <c r="BC123" s="34"/>
      <c r="BD123" s="34"/>
      <c r="BE123" s="34"/>
      <c r="BF123" s="34"/>
      <c r="BG123" s="34"/>
      <c r="BH123" s="34"/>
      <c r="BI123" s="34"/>
      <c r="BJ123" s="34"/>
      <c r="BK123" s="34"/>
      <c r="BL123" s="34"/>
      <c r="BM123" s="34"/>
      <c r="BN123" s="34"/>
      <c r="BO123" s="34"/>
      <c r="BP123" s="34"/>
      <c r="BQ123" s="34"/>
      <c r="BR123" s="34"/>
      <c r="BS123" s="34"/>
      <c r="BT123" s="34"/>
      <c r="BU123" s="34"/>
      <c r="BV123" s="34"/>
      <c r="BW123" s="34"/>
      <c r="BX123" s="34"/>
      <c r="BY123" s="34"/>
      <c r="BZ123" s="34"/>
      <c r="CA123" s="34"/>
      <c r="CB123" s="34"/>
      <c r="CC123" s="34"/>
      <c r="CD123" s="34"/>
      <c r="CE123" s="34"/>
      <c r="CF123" s="34"/>
      <c r="CG123" s="34"/>
      <c r="CH123" s="34"/>
      <c r="CI123" s="34"/>
      <c r="CJ123" s="34"/>
    </row>
    <row r="124" ht="15" customHeight="1">
      <c r="A124" s="44">
        <v>2008</v>
      </c>
      <c r="B124" s="45">
        <v>9290.9</v>
      </c>
      <c r="C124" s="42"/>
      <c r="D124" s="34"/>
      <c r="E124" s="47">
        <f>B124</f>
        <v>9290.9</v>
      </c>
      <c r="F124" s="49">
        <v>304.529</v>
      </c>
      <c r="G124" s="38">
        <f>1000*E124/F124</f>
        <v>30509.0812369265</v>
      </c>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c r="BA124" s="34"/>
      <c r="BB124" s="34"/>
      <c r="BC124" s="34"/>
      <c r="BD124" s="34"/>
      <c r="BE124" s="34"/>
      <c r="BF124" s="34"/>
      <c r="BG124" s="34"/>
      <c r="BH124" s="34"/>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c r="CJ124" s="34"/>
    </row>
    <row r="125" ht="15" customHeight="1">
      <c r="A125" s="44">
        <v>2009</v>
      </c>
      <c r="B125" s="50">
        <v>9186.700000000001</v>
      </c>
      <c r="C125" s="42"/>
      <c r="D125" s="34"/>
      <c r="E125" s="51">
        <f>B125</f>
        <v>9186.700000000001</v>
      </c>
      <c r="F125" s="19">
        <v>306.9</v>
      </c>
      <c r="G125" s="52">
        <f>1000*E125/F125</f>
        <v>29933.8546757902</v>
      </c>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4"/>
      <c r="BA125" s="34"/>
      <c r="BB125" s="34"/>
      <c r="BC125" s="34"/>
      <c r="BD125" s="34"/>
      <c r="BE125" s="34"/>
      <c r="BF125" s="34"/>
      <c r="BG125" s="34"/>
      <c r="BH125" s="34"/>
      <c r="BI125" s="3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c r="CF125" s="34"/>
      <c r="CG125" s="34"/>
      <c r="CH125" s="34"/>
      <c r="CI125" s="34"/>
      <c r="CJ125" s="34"/>
    </row>
    <row r="126" ht="15" customHeight="1">
      <c r="A126" s="34"/>
      <c r="B126" t="s" s="53">
        <v>88</v>
      </c>
      <c r="C126" s="34"/>
      <c r="D126" s="34"/>
      <c r="E126" s="34"/>
      <c r="F126" t="s" s="54">
        <v>89</v>
      </c>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4"/>
      <c r="BA126" s="34"/>
      <c r="BB126" s="34"/>
      <c r="BC126" s="34"/>
      <c r="BD126" s="34"/>
      <c r="BE126" s="34"/>
      <c r="BF126" s="34"/>
      <c r="BG126" s="34"/>
      <c r="BH126" s="34"/>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c r="CJ126" s="3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6384" width="10" customWidth="1"/>
  </cols>
  <sheetData/>
  <pageMargins left="0.75" right="0.75" top="1" bottom="1" header="0.5" footer="0.5"/>
  <pageSetup firstPageNumber="1" fitToHeight="1" fitToWidth="1" scale="100" useFirstPageNumber="0" orientation="landscape" pageOrder="downThenOver"/>
  <headerFooter>
    <oddFooter>&amp;C&amp;"Helvetica Neue,Regular"&amp;12&amp;K000000&amp;P</oddFooter>
  </headerFooter>
  <drawing r:id="rId1"/>
</worksheet>
</file>

<file path=xl/worksheets/sheet5.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6384" width="10" customWidth="1"/>
  </cols>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6.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2" customHeight="1" outlineLevelRow="0" outlineLevelCol="0"/>
  <cols>
    <col min="1" max="5" width="8.85156" style="55" customWidth="1"/>
    <col min="6" max="16384" width="8.85156" style="55" customWidth="1"/>
  </cols>
  <sheetData>
    <row r="1" ht="15" customHeight="1">
      <c r="A1" t="s" s="33">
        <v>94</v>
      </c>
      <c r="B1" s="34"/>
      <c r="C1" s="34"/>
      <c r="D1" s="34"/>
      <c r="E1" s="36">
        <f>AVERAGE('Data'!H9:H151)</f>
        <v>1.02721944418783</v>
      </c>
    </row>
    <row r="2" ht="15" customHeight="1">
      <c r="A2" t="s" s="33">
        <v>95</v>
      </c>
      <c r="B2" s="34"/>
      <c r="C2" s="34"/>
      <c r="D2" s="34"/>
      <c r="E2" s="36">
        <f>AVERAGE('Data'!Q9:Q151)</f>
        <v>0.06326421793933409</v>
      </c>
    </row>
    <row r="3" ht="15" customHeight="1">
      <c r="A3" t="s" s="33">
        <v>96</v>
      </c>
      <c r="B3" s="34"/>
      <c r="C3" s="34"/>
      <c r="D3" s="34"/>
      <c r="E3" s="36">
        <f>EXP(E2)-1</f>
        <v>0.0653082756067349</v>
      </c>
    </row>
    <row r="4" ht="15" customHeight="1">
      <c r="A4" t="s" s="33">
        <v>97</v>
      </c>
      <c r="B4" s="34"/>
      <c r="C4" s="34"/>
      <c r="D4" s="34"/>
      <c r="E4" s="36">
        <f>EXP(LN('Data'!O150/'Data'!O9)/141)-1</f>
        <v>0.0134786919876562</v>
      </c>
    </row>
    <row r="5" ht="15" customHeight="1">
      <c r="A5" s="34"/>
      <c r="B5" s="34"/>
      <c r="C5" s="34"/>
      <c r="D5" s="34"/>
      <c r="E5" s="34"/>
    </row>
    <row r="6" ht="15" customHeight="1">
      <c r="A6" s="34"/>
      <c r="B6" s="34"/>
      <c r="C6" s="34"/>
      <c r="D6" s="34"/>
      <c r="E6" s="34"/>
    </row>
    <row r="7" ht="15" customHeight="1">
      <c r="A7" s="34"/>
      <c r="B7" s="34"/>
      <c r="C7" s="34"/>
      <c r="D7" s="34"/>
      <c r="E7" s="34"/>
    </row>
    <row r="8" ht="15" customHeight="1">
      <c r="A8" s="34"/>
      <c r="B8" s="34"/>
      <c r="C8" s="34"/>
      <c r="D8" s="34"/>
      <c r="E8" s="34"/>
    </row>
    <row r="9" ht="15" customHeight="1">
      <c r="A9" s="34"/>
      <c r="B9" s="34"/>
      <c r="C9" s="34"/>
      <c r="D9" s="34"/>
      <c r="E9" s="34"/>
    </row>
    <row r="10" ht="15" customHeight="1">
      <c r="A10" s="34"/>
      <c r="B10" s="34"/>
      <c r="C10" s="34"/>
      <c r="D10" s="34"/>
      <c r="E10" s="3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